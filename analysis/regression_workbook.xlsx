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nvesh Rongala\Downloads\retail_regression_project\retail_regression_project\analysis\"/>
    </mc:Choice>
  </mc:AlternateContent>
  <xr:revisionPtr revIDLastSave="0" documentId="13_ncr:1_{5A99777D-2541-4607-9399-467A8218FA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iginal Dataset" sheetId="1" r:id="rId1"/>
    <sheet name="Data Dictionary" sheetId="2" r:id="rId2"/>
    <sheet name="Cleaned Prepared Data" sheetId="3" r:id="rId3"/>
    <sheet name="Dummy Variables" sheetId="4" r:id="rId4"/>
    <sheet name="Simple Regression Outputs" sheetId="5" r:id="rId5"/>
    <sheet name="Multiple Regression Outputs" sheetId="6" r:id="rId6"/>
    <sheet name="Prediction &amp; Residuals" sheetId="7" r:id="rId7"/>
    <sheet name="Model Compari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21" i="7" l="1"/>
  <c r="U320" i="7"/>
  <c r="U319" i="7"/>
  <c r="U318" i="7"/>
  <c r="U317" i="7"/>
  <c r="U316" i="7"/>
  <c r="U315" i="7"/>
  <c r="U314" i="7"/>
  <c r="U313" i="7"/>
  <c r="U312" i="7"/>
  <c r="U311" i="7"/>
  <c r="U310" i="7"/>
  <c r="U309" i="7"/>
  <c r="U308" i="7"/>
  <c r="U307" i="7"/>
  <c r="U306" i="7"/>
  <c r="U305" i="7"/>
  <c r="U304" i="7"/>
  <c r="U303" i="7"/>
  <c r="U302" i="7"/>
  <c r="U301" i="7"/>
  <c r="U300" i="7"/>
  <c r="U299" i="7"/>
  <c r="U298" i="7"/>
  <c r="U297" i="7"/>
  <c r="U296" i="7"/>
  <c r="U295" i="7"/>
  <c r="U294" i="7"/>
  <c r="U293" i="7"/>
  <c r="U292" i="7"/>
  <c r="U291" i="7"/>
  <c r="U290" i="7"/>
  <c r="U289" i="7"/>
  <c r="U288" i="7"/>
  <c r="U287" i="7"/>
  <c r="U286" i="7"/>
  <c r="U285" i="7"/>
  <c r="U284" i="7"/>
  <c r="U283" i="7"/>
  <c r="U282" i="7"/>
  <c r="U281" i="7"/>
  <c r="U280" i="7"/>
  <c r="U279" i="7"/>
  <c r="U278" i="7"/>
  <c r="U277" i="7"/>
  <c r="U276" i="7"/>
  <c r="U275" i="7"/>
  <c r="U274" i="7"/>
  <c r="U273" i="7"/>
  <c r="U272" i="7"/>
  <c r="U271" i="7"/>
  <c r="U270" i="7"/>
  <c r="U269" i="7"/>
  <c r="U268" i="7"/>
  <c r="U267" i="7"/>
  <c r="U266" i="7"/>
  <c r="U265" i="7"/>
  <c r="U264" i="7"/>
  <c r="U263" i="7"/>
  <c r="U262" i="7"/>
  <c r="U261" i="7"/>
  <c r="U260" i="7"/>
  <c r="U259" i="7"/>
  <c r="U258" i="7"/>
  <c r="U257" i="7"/>
  <c r="U256" i="7"/>
  <c r="U255" i="7"/>
  <c r="U254" i="7"/>
  <c r="U253" i="7"/>
  <c r="U252" i="7"/>
  <c r="U251" i="7"/>
  <c r="U250" i="7"/>
  <c r="U249" i="7"/>
  <c r="U248" i="7"/>
  <c r="U247" i="7"/>
  <c r="U246" i="7"/>
  <c r="U245" i="7"/>
  <c r="U244" i="7"/>
  <c r="U243" i="7"/>
  <c r="U242" i="7"/>
  <c r="U241" i="7"/>
  <c r="U240" i="7"/>
  <c r="U239" i="7"/>
  <c r="U238" i="7"/>
  <c r="U237" i="7"/>
  <c r="U236" i="7"/>
  <c r="U235" i="7"/>
  <c r="U234" i="7"/>
  <c r="U233" i="7"/>
  <c r="U232" i="7"/>
  <c r="U231" i="7"/>
  <c r="U230" i="7"/>
  <c r="U229" i="7"/>
  <c r="U228" i="7"/>
  <c r="U227" i="7"/>
  <c r="U226" i="7"/>
  <c r="U225" i="7"/>
  <c r="U224" i="7"/>
  <c r="U223" i="7"/>
  <c r="U222" i="7"/>
  <c r="U221" i="7"/>
  <c r="U220" i="7"/>
  <c r="U219" i="7"/>
  <c r="U218" i="7"/>
  <c r="U217" i="7"/>
  <c r="U216" i="7"/>
  <c r="U215" i="7"/>
  <c r="U214" i="7"/>
  <c r="V213" i="7"/>
  <c r="U213" i="7"/>
  <c r="U212" i="7"/>
  <c r="U211" i="7"/>
  <c r="U210" i="7"/>
  <c r="U209" i="7"/>
  <c r="U208" i="7"/>
  <c r="U207" i="7"/>
  <c r="U206" i="7"/>
  <c r="U205" i="7"/>
  <c r="U204" i="7"/>
  <c r="U203" i="7"/>
  <c r="U202" i="7"/>
  <c r="U201" i="7"/>
  <c r="U200" i="7"/>
  <c r="U199" i="7"/>
  <c r="U198" i="7"/>
  <c r="U197" i="7"/>
  <c r="U196" i="7"/>
  <c r="U195" i="7"/>
  <c r="U194" i="7"/>
  <c r="U193" i="7"/>
  <c r="U192" i="7"/>
  <c r="U191" i="7"/>
  <c r="U190" i="7"/>
  <c r="U189" i="7"/>
  <c r="U188" i="7"/>
  <c r="U187" i="7"/>
  <c r="U186" i="7"/>
  <c r="U185" i="7"/>
  <c r="U184" i="7"/>
  <c r="U183" i="7"/>
  <c r="U182" i="7"/>
  <c r="U181" i="7"/>
  <c r="U180" i="7"/>
  <c r="U179" i="7"/>
  <c r="U178" i="7"/>
  <c r="U177" i="7"/>
  <c r="U176" i="7"/>
  <c r="U175" i="7"/>
  <c r="U174" i="7"/>
  <c r="U173" i="7"/>
  <c r="U172" i="7"/>
  <c r="U171" i="7"/>
  <c r="U170" i="7"/>
  <c r="U169" i="7"/>
  <c r="U168" i="7"/>
  <c r="U167" i="7"/>
  <c r="U166" i="7"/>
  <c r="U165" i="7"/>
  <c r="U164" i="7"/>
  <c r="U163" i="7"/>
  <c r="U162" i="7"/>
  <c r="U161" i="7"/>
  <c r="U160" i="7"/>
  <c r="U159" i="7"/>
  <c r="U158" i="7"/>
  <c r="U157" i="7"/>
  <c r="U156" i="7"/>
  <c r="U155" i="7"/>
  <c r="U154" i="7"/>
  <c r="U153" i="7"/>
  <c r="U152" i="7"/>
  <c r="U151" i="7"/>
  <c r="U150" i="7"/>
  <c r="U149" i="7"/>
  <c r="U148" i="7"/>
  <c r="U147" i="7"/>
  <c r="U146" i="7"/>
  <c r="U145" i="7"/>
  <c r="U144" i="7"/>
  <c r="U143" i="7"/>
  <c r="U142" i="7"/>
  <c r="U141" i="7"/>
  <c r="U140" i="7"/>
  <c r="U139" i="7"/>
  <c r="U138" i="7"/>
  <c r="U137" i="7"/>
  <c r="U136" i="7"/>
  <c r="U135" i="7"/>
  <c r="U134" i="7"/>
  <c r="U133" i="7"/>
  <c r="U132" i="7"/>
  <c r="U131" i="7"/>
  <c r="U130" i="7"/>
  <c r="U129" i="7"/>
  <c r="U128" i="7"/>
  <c r="U127" i="7"/>
  <c r="U126" i="7"/>
  <c r="U125" i="7"/>
  <c r="U124" i="7"/>
  <c r="U123" i="7"/>
  <c r="U122" i="7"/>
  <c r="U121" i="7"/>
  <c r="U120" i="7"/>
  <c r="U119" i="7"/>
  <c r="U118" i="7"/>
  <c r="U117" i="7"/>
  <c r="U116" i="7"/>
  <c r="U115" i="7"/>
  <c r="U114" i="7"/>
  <c r="U113" i="7"/>
  <c r="U112" i="7"/>
  <c r="U111" i="7"/>
  <c r="U110" i="7"/>
  <c r="U109" i="7"/>
  <c r="U108" i="7"/>
  <c r="U107" i="7"/>
  <c r="U106" i="7"/>
  <c r="U105" i="7"/>
  <c r="U104" i="7"/>
  <c r="U103" i="7"/>
  <c r="U102" i="7"/>
  <c r="U101" i="7"/>
  <c r="U100" i="7"/>
  <c r="U99" i="7"/>
  <c r="U98" i="7"/>
  <c r="U97" i="7"/>
  <c r="U96" i="7"/>
  <c r="U95" i="7"/>
  <c r="U94" i="7"/>
  <c r="U93" i="7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U4" i="7"/>
  <c r="U3" i="7"/>
  <c r="U2" i="7"/>
  <c r="J321" i="4"/>
  <c r="I321" i="4"/>
  <c r="H321" i="4"/>
  <c r="G321" i="4"/>
  <c r="F321" i="4"/>
  <c r="E321" i="4"/>
  <c r="J320" i="4"/>
  <c r="I320" i="4"/>
  <c r="H320" i="4"/>
  <c r="G320" i="4"/>
  <c r="F320" i="4"/>
  <c r="E320" i="4"/>
  <c r="J319" i="4"/>
  <c r="I319" i="4"/>
  <c r="H319" i="4"/>
  <c r="G319" i="4"/>
  <c r="F319" i="4"/>
  <c r="E319" i="4"/>
  <c r="J318" i="4"/>
  <c r="I318" i="4"/>
  <c r="H318" i="4"/>
  <c r="G318" i="4"/>
  <c r="F318" i="4"/>
  <c r="E318" i="4"/>
  <c r="J317" i="4"/>
  <c r="I317" i="4"/>
  <c r="H317" i="4"/>
  <c r="G317" i="4"/>
  <c r="F317" i="4"/>
  <c r="E317" i="4"/>
  <c r="J316" i="4"/>
  <c r="I316" i="4"/>
  <c r="H316" i="4"/>
  <c r="G316" i="4"/>
  <c r="F316" i="4"/>
  <c r="E316" i="4"/>
  <c r="J315" i="4"/>
  <c r="I315" i="4"/>
  <c r="H315" i="4"/>
  <c r="G315" i="4"/>
  <c r="F315" i="4"/>
  <c r="E315" i="4"/>
  <c r="J314" i="4"/>
  <c r="I314" i="4"/>
  <c r="H314" i="4"/>
  <c r="G314" i="4"/>
  <c r="F314" i="4"/>
  <c r="E314" i="4"/>
  <c r="J313" i="4"/>
  <c r="I313" i="4"/>
  <c r="H313" i="4"/>
  <c r="G313" i="4"/>
  <c r="F313" i="4"/>
  <c r="E313" i="4"/>
  <c r="J312" i="4"/>
  <c r="I312" i="4"/>
  <c r="H312" i="4"/>
  <c r="G312" i="4"/>
  <c r="F312" i="4"/>
  <c r="E312" i="4"/>
  <c r="J311" i="4"/>
  <c r="I311" i="4"/>
  <c r="H311" i="4"/>
  <c r="G311" i="4"/>
  <c r="F311" i="4"/>
  <c r="E311" i="4"/>
  <c r="J310" i="4"/>
  <c r="I310" i="4"/>
  <c r="H310" i="4"/>
  <c r="G310" i="4"/>
  <c r="F310" i="4"/>
  <c r="E310" i="4"/>
  <c r="J309" i="4"/>
  <c r="I309" i="4"/>
  <c r="H309" i="4"/>
  <c r="G309" i="4"/>
  <c r="F309" i="4"/>
  <c r="E309" i="4"/>
  <c r="J308" i="4"/>
  <c r="I308" i="4"/>
  <c r="H308" i="4"/>
  <c r="G308" i="4"/>
  <c r="F308" i="4"/>
  <c r="E308" i="4"/>
  <c r="J307" i="4"/>
  <c r="I307" i="4"/>
  <c r="H307" i="4"/>
  <c r="G307" i="4"/>
  <c r="F307" i="4"/>
  <c r="E307" i="4"/>
  <c r="J306" i="4"/>
  <c r="I306" i="4"/>
  <c r="H306" i="4"/>
  <c r="G306" i="4"/>
  <c r="F306" i="4"/>
  <c r="E306" i="4"/>
  <c r="J305" i="4"/>
  <c r="I305" i="4"/>
  <c r="H305" i="4"/>
  <c r="G305" i="4"/>
  <c r="F305" i="4"/>
  <c r="E305" i="4"/>
  <c r="J304" i="4"/>
  <c r="I304" i="4"/>
  <c r="H304" i="4"/>
  <c r="G304" i="4"/>
  <c r="F304" i="4"/>
  <c r="E304" i="4"/>
  <c r="J303" i="4"/>
  <c r="I303" i="4"/>
  <c r="H303" i="4"/>
  <c r="G303" i="4"/>
  <c r="F303" i="4"/>
  <c r="E303" i="4"/>
  <c r="J302" i="4"/>
  <c r="I302" i="4"/>
  <c r="H302" i="4"/>
  <c r="G302" i="4"/>
  <c r="F302" i="4"/>
  <c r="E302" i="4"/>
  <c r="J301" i="4"/>
  <c r="I301" i="4"/>
  <c r="H301" i="4"/>
  <c r="G301" i="4"/>
  <c r="F301" i="4"/>
  <c r="E301" i="4"/>
  <c r="J300" i="4"/>
  <c r="I300" i="4"/>
  <c r="H300" i="4"/>
  <c r="G300" i="4"/>
  <c r="F300" i="4"/>
  <c r="E300" i="4"/>
  <c r="J299" i="4"/>
  <c r="I299" i="4"/>
  <c r="H299" i="4"/>
  <c r="G299" i="4"/>
  <c r="F299" i="4"/>
  <c r="E299" i="4"/>
  <c r="J298" i="4"/>
  <c r="I298" i="4"/>
  <c r="H298" i="4"/>
  <c r="G298" i="4"/>
  <c r="F298" i="4"/>
  <c r="E298" i="4"/>
  <c r="J297" i="4"/>
  <c r="I297" i="4"/>
  <c r="H297" i="4"/>
  <c r="G297" i="4"/>
  <c r="F297" i="4"/>
  <c r="E297" i="4"/>
  <c r="J296" i="4"/>
  <c r="I296" i="4"/>
  <c r="H296" i="4"/>
  <c r="G296" i="4"/>
  <c r="F296" i="4"/>
  <c r="E296" i="4"/>
  <c r="J295" i="4"/>
  <c r="I295" i="4"/>
  <c r="H295" i="4"/>
  <c r="G295" i="4"/>
  <c r="F295" i="4"/>
  <c r="E295" i="4"/>
  <c r="J294" i="4"/>
  <c r="I294" i="4"/>
  <c r="H294" i="4"/>
  <c r="G294" i="4"/>
  <c r="F294" i="4"/>
  <c r="E294" i="4"/>
  <c r="J293" i="4"/>
  <c r="I293" i="4"/>
  <c r="H293" i="4"/>
  <c r="G293" i="4"/>
  <c r="F293" i="4"/>
  <c r="E293" i="4"/>
  <c r="J292" i="4"/>
  <c r="I292" i="4"/>
  <c r="H292" i="4"/>
  <c r="G292" i="4"/>
  <c r="F292" i="4"/>
  <c r="E292" i="4"/>
  <c r="J291" i="4"/>
  <c r="I291" i="4"/>
  <c r="H291" i="4"/>
  <c r="G291" i="4"/>
  <c r="F291" i="4"/>
  <c r="E291" i="4"/>
  <c r="J290" i="4"/>
  <c r="I290" i="4"/>
  <c r="H290" i="4"/>
  <c r="G290" i="4"/>
  <c r="F290" i="4"/>
  <c r="E290" i="4"/>
  <c r="J289" i="4"/>
  <c r="I289" i="4"/>
  <c r="H289" i="4"/>
  <c r="G289" i="4"/>
  <c r="F289" i="4"/>
  <c r="E289" i="4"/>
  <c r="J288" i="4"/>
  <c r="I288" i="4"/>
  <c r="H288" i="4"/>
  <c r="G288" i="4"/>
  <c r="F288" i="4"/>
  <c r="E288" i="4"/>
  <c r="J287" i="4"/>
  <c r="I287" i="4"/>
  <c r="H287" i="4"/>
  <c r="G287" i="4"/>
  <c r="F287" i="4"/>
  <c r="E287" i="4"/>
  <c r="J286" i="4"/>
  <c r="I286" i="4"/>
  <c r="H286" i="4"/>
  <c r="G286" i="4"/>
  <c r="F286" i="4"/>
  <c r="E286" i="4"/>
  <c r="J285" i="4"/>
  <c r="I285" i="4"/>
  <c r="H285" i="4"/>
  <c r="G285" i="4"/>
  <c r="F285" i="4"/>
  <c r="E285" i="4"/>
  <c r="J284" i="4"/>
  <c r="I284" i="4"/>
  <c r="H284" i="4"/>
  <c r="G284" i="4"/>
  <c r="F284" i="4"/>
  <c r="E284" i="4"/>
  <c r="J283" i="4"/>
  <c r="I283" i="4"/>
  <c r="H283" i="4"/>
  <c r="G283" i="4"/>
  <c r="F283" i="4"/>
  <c r="E283" i="4"/>
  <c r="J282" i="4"/>
  <c r="I282" i="4"/>
  <c r="H282" i="4"/>
  <c r="G282" i="4"/>
  <c r="F282" i="4"/>
  <c r="E282" i="4"/>
  <c r="J281" i="4"/>
  <c r="I281" i="4"/>
  <c r="H281" i="4"/>
  <c r="G281" i="4"/>
  <c r="F281" i="4"/>
  <c r="E281" i="4"/>
  <c r="J280" i="4"/>
  <c r="I280" i="4"/>
  <c r="H280" i="4"/>
  <c r="G280" i="4"/>
  <c r="F280" i="4"/>
  <c r="E280" i="4"/>
  <c r="J279" i="4"/>
  <c r="I279" i="4"/>
  <c r="H279" i="4"/>
  <c r="G279" i="4"/>
  <c r="F279" i="4"/>
  <c r="E279" i="4"/>
  <c r="J278" i="4"/>
  <c r="I278" i="4"/>
  <c r="H278" i="4"/>
  <c r="G278" i="4"/>
  <c r="F278" i="4"/>
  <c r="E278" i="4"/>
  <c r="J277" i="4"/>
  <c r="I277" i="4"/>
  <c r="H277" i="4"/>
  <c r="G277" i="4"/>
  <c r="F277" i="4"/>
  <c r="E277" i="4"/>
  <c r="J276" i="4"/>
  <c r="I276" i="4"/>
  <c r="H276" i="4"/>
  <c r="G276" i="4"/>
  <c r="F276" i="4"/>
  <c r="E276" i="4"/>
  <c r="J275" i="4"/>
  <c r="I275" i="4"/>
  <c r="H275" i="4"/>
  <c r="G275" i="4"/>
  <c r="F275" i="4"/>
  <c r="E275" i="4"/>
  <c r="J274" i="4"/>
  <c r="I274" i="4"/>
  <c r="H274" i="4"/>
  <c r="G274" i="4"/>
  <c r="F274" i="4"/>
  <c r="E274" i="4"/>
  <c r="J273" i="4"/>
  <c r="I273" i="4"/>
  <c r="H273" i="4"/>
  <c r="G273" i="4"/>
  <c r="F273" i="4"/>
  <c r="E273" i="4"/>
  <c r="J272" i="4"/>
  <c r="I272" i="4"/>
  <c r="H272" i="4"/>
  <c r="G272" i="4"/>
  <c r="F272" i="4"/>
  <c r="E272" i="4"/>
  <c r="J271" i="4"/>
  <c r="I271" i="4"/>
  <c r="H271" i="4"/>
  <c r="G271" i="4"/>
  <c r="F271" i="4"/>
  <c r="E271" i="4"/>
  <c r="J270" i="4"/>
  <c r="I270" i="4"/>
  <c r="H270" i="4"/>
  <c r="G270" i="4"/>
  <c r="F270" i="4"/>
  <c r="E270" i="4"/>
  <c r="J269" i="4"/>
  <c r="I269" i="4"/>
  <c r="H269" i="4"/>
  <c r="G269" i="4"/>
  <c r="F269" i="4"/>
  <c r="E269" i="4"/>
  <c r="J268" i="4"/>
  <c r="I268" i="4"/>
  <c r="H268" i="4"/>
  <c r="G268" i="4"/>
  <c r="F268" i="4"/>
  <c r="E268" i="4"/>
  <c r="J267" i="4"/>
  <c r="I267" i="4"/>
  <c r="H267" i="4"/>
  <c r="G267" i="4"/>
  <c r="F267" i="4"/>
  <c r="E267" i="4"/>
  <c r="J266" i="4"/>
  <c r="I266" i="4"/>
  <c r="H266" i="4"/>
  <c r="G266" i="4"/>
  <c r="F266" i="4"/>
  <c r="E266" i="4"/>
  <c r="J265" i="4"/>
  <c r="I265" i="4"/>
  <c r="H265" i="4"/>
  <c r="G265" i="4"/>
  <c r="F265" i="4"/>
  <c r="E265" i="4"/>
  <c r="J264" i="4"/>
  <c r="I264" i="4"/>
  <c r="H264" i="4"/>
  <c r="G264" i="4"/>
  <c r="F264" i="4"/>
  <c r="E264" i="4"/>
  <c r="J263" i="4"/>
  <c r="I263" i="4"/>
  <c r="H263" i="4"/>
  <c r="G263" i="4"/>
  <c r="F263" i="4"/>
  <c r="E263" i="4"/>
  <c r="J262" i="4"/>
  <c r="I262" i="4"/>
  <c r="H262" i="4"/>
  <c r="G262" i="4"/>
  <c r="F262" i="4"/>
  <c r="E262" i="4"/>
  <c r="J261" i="4"/>
  <c r="I261" i="4"/>
  <c r="H261" i="4"/>
  <c r="G261" i="4"/>
  <c r="F261" i="4"/>
  <c r="E261" i="4"/>
  <c r="J260" i="4"/>
  <c r="I260" i="4"/>
  <c r="H260" i="4"/>
  <c r="G260" i="4"/>
  <c r="F260" i="4"/>
  <c r="E260" i="4"/>
  <c r="J259" i="4"/>
  <c r="I259" i="4"/>
  <c r="H259" i="4"/>
  <c r="G259" i="4"/>
  <c r="F259" i="4"/>
  <c r="E259" i="4"/>
  <c r="J258" i="4"/>
  <c r="I258" i="4"/>
  <c r="H258" i="4"/>
  <c r="G258" i="4"/>
  <c r="F258" i="4"/>
  <c r="E258" i="4"/>
  <c r="J257" i="4"/>
  <c r="I257" i="4"/>
  <c r="H257" i="4"/>
  <c r="G257" i="4"/>
  <c r="F257" i="4"/>
  <c r="E257" i="4"/>
  <c r="J256" i="4"/>
  <c r="I256" i="4"/>
  <c r="H256" i="4"/>
  <c r="G256" i="4"/>
  <c r="F256" i="4"/>
  <c r="E256" i="4"/>
  <c r="J255" i="4"/>
  <c r="I255" i="4"/>
  <c r="H255" i="4"/>
  <c r="G255" i="4"/>
  <c r="F255" i="4"/>
  <c r="E255" i="4"/>
  <c r="J254" i="4"/>
  <c r="I254" i="4"/>
  <c r="H254" i="4"/>
  <c r="G254" i="4"/>
  <c r="F254" i="4"/>
  <c r="E254" i="4"/>
  <c r="J253" i="4"/>
  <c r="I253" i="4"/>
  <c r="H253" i="4"/>
  <c r="G253" i="4"/>
  <c r="F253" i="4"/>
  <c r="E253" i="4"/>
  <c r="J252" i="4"/>
  <c r="I252" i="4"/>
  <c r="H252" i="4"/>
  <c r="G252" i="4"/>
  <c r="F252" i="4"/>
  <c r="E252" i="4"/>
  <c r="J251" i="4"/>
  <c r="I251" i="4"/>
  <c r="H251" i="4"/>
  <c r="G251" i="4"/>
  <c r="F251" i="4"/>
  <c r="E251" i="4"/>
  <c r="J250" i="4"/>
  <c r="I250" i="4"/>
  <c r="H250" i="4"/>
  <c r="G250" i="4"/>
  <c r="F250" i="4"/>
  <c r="E250" i="4"/>
  <c r="J249" i="4"/>
  <c r="I249" i="4"/>
  <c r="H249" i="4"/>
  <c r="G249" i="4"/>
  <c r="F249" i="4"/>
  <c r="E249" i="4"/>
  <c r="J248" i="4"/>
  <c r="I248" i="4"/>
  <c r="H248" i="4"/>
  <c r="G248" i="4"/>
  <c r="F248" i="4"/>
  <c r="E248" i="4"/>
  <c r="J247" i="4"/>
  <c r="I247" i="4"/>
  <c r="H247" i="4"/>
  <c r="G247" i="4"/>
  <c r="F247" i="4"/>
  <c r="E247" i="4"/>
  <c r="J246" i="4"/>
  <c r="I246" i="4"/>
  <c r="H246" i="4"/>
  <c r="G246" i="4"/>
  <c r="F246" i="4"/>
  <c r="E246" i="4"/>
  <c r="J245" i="4"/>
  <c r="I245" i="4"/>
  <c r="H245" i="4"/>
  <c r="G245" i="4"/>
  <c r="F245" i="4"/>
  <c r="E245" i="4"/>
  <c r="J244" i="4"/>
  <c r="I244" i="4"/>
  <c r="H244" i="4"/>
  <c r="G244" i="4"/>
  <c r="F244" i="4"/>
  <c r="E244" i="4"/>
  <c r="J243" i="4"/>
  <c r="I243" i="4"/>
  <c r="H243" i="4"/>
  <c r="G243" i="4"/>
  <c r="F243" i="4"/>
  <c r="E243" i="4"/>
  <c r="J242" i="4"/>
  <c r="I242" i="4"/>
  <c r="H242" i="4"/>
  <c r="G242" i="4"/>
  <c r="F242" i="4"/>
  <c r="E242" i="4"/>
  <c r="J241" i="4"/>
  <c r="I241" i="4"/>
  <c r="H241" i="4"/>
  <c r="G241" i="4"/>
  <c r="F241" i="4"/>
  <c r="E241" i="4"/>
  <c r="J240" i="4"/>
  <c r="I240" i="4"/>
  <c r="H240" i="4"/>
  <c r="G240" i="4"/>
  <c r="F240" i="4"/>
  <c r="E240" i="4"/>
  <c r="J239" i="4"/>
  <c r="I239" i="4"/>
  <c r="H239" i="4"/>
  <c r="G239" i="4"/>
  <c r="F239" i="4"/>
  <c r="E239" i="4"/>
  <c r="J238" i="4"/>
  <c r="I238" i="4"/>
  <c r="H238" i="4"/>
  <c r="G238" i="4"/>
  <c r="F238" i="4"/>
  <c r="E238" i="4"/>
  <c r="J237" i="4"/>
  <c r="I237" i="4"/>
  <c r="H237" i="4"/>
  <c r="G237" i="4"/>
  <c r="F237" i="4"/>
  <c r="E237" i="4"/>
  <c r="J236" i="4"/>
  <c r="I236" i="4"/>
  <c r="H236" i="4"/>
  <c r="G236" i="4"/>
  <c r="F236" i="4"/>
  <c r="E236" i="4"/>
  <c r="J235" i="4"/>
  <c r="I235" i="4"/>
  <c r="H235" i="4"/>
  <c r="G235" i="4"/>
  <c r="F235" i="4"/>
  <c r="E235" i="4"/>
  <c r="J234" i="4"/>
  <c r="I234" i="4"/>
  <c r="H234" i="4"/>
  <c r="G234" i="4"/>
  <c r="F234" i="4"/>
  <c r="E234" i="4"/>
  <c r="J233" i="4"/>
  <c r="I233" i="4"/>
  <c r="H233" i="4"/>
  <c r="G233" i="4"/>
  <c r="F233" i="4"/>
  <c r="E233" i="4"/>
  <c r="J232" i="4"/>
  <c r="I232" i="4"/>
  <c r="H232" i="4"/>
  <c r="G232" i="4"/>
  <c r="F232" i="4"/>
  <c r="E232" i="4"/>
  <c r="J231" i="4"/>
  <c r="I231" i="4"/>
  <c r="H231" i="4"/>
  <c r="G231" i="4"/>
  <c r="F231" i="4"/>
  <c r="E231" i="4"/>
  <c r="J230" i="4"/>
  <c r="I230" i="4"/>
  <c r="H230" i="4"/>
  <c r="G230" i="4"/>
  <c r="F230" i="4"/>
  <c r="E230" i="4"/>
  <c r="J229" i="4"/>
  <c r="I229" i="4"/>
  <c r="H229" i="4"/>
  <c r="G229" i="4"/>
  <c r="F229" i="4"/>
  <c r="E229" i="4"/>
  <c r="J228" i="4"/>
  <c r="I228" i="4"/>
  <c r="H228" i="4"/>
  <c r="G228" i="4"/>
  <c r="F228" i="4"/>
  <c r="E228" i="4"/>
  <c r="J227" i="4"/>
  <c r="I227" i="4"/>
  <c r="H227" i="4"/>
  <c r="G227" i="4"/>
  <c r="F227" i="4"/>
  <c r="E227" i="4"/>
  <c r="J226" i="4"/>
  <c r="I226" i="4"/>
  <c r="H226" i="4"/>
  <c r="G226" i="4"/>
  <c r="F226" i="4"/>
  <c r="E226" i="4"/>
  <c r="J225" i="4"/>
  <c r="I225" i="4"/>
  <c r="H225" i="4"/>
  <c r="G225" i="4"/>
  <c r="F225" i="4"/>
  <c r="E225" i="4"/>
  <c r="J224" i="4"/>
  <c r="I224" i="4"/>
  <c r="H224" i="4"/>
  <c r="G224" i="4"/>
  <c r="F224" i="4"/>
  <c r="E224" i="4"/>
  <c r="J223" i="4"/>
  <c r="I223" i="4"/>
  <c r="H223" i="4"/>
  <c r="G223" i="4"/>
  <c r="F223" i="4"/>
  <c r="E223" i="4"/>
  <c r="J222" i="4"/>
  <c r="I222" i="4"/>
  <c r="H222" i="4"/>
  <c r="G222" i="4"/>
  <c r="F222" i="4"/>
  <c r="E222" i="4"/>
  <c r="J221" i="4"/>
  <c r="I221" i="4"/>
  <c r="H221" i="4"/>
  <c r="G221" i="4"/>
  <c r="F221" i="4"/>
  <c r="E221" i="4"/>
  <c r="J220" i="4"/>
  <c r="I220" i="4"/>
  <c r="H220" i="4"/>
  <c r="G220" i="4"/>
  <c r="F220" i="4"/>
  <c r="E220" i="4"/>
  <c r="J219" i="4"/>
  <c r="I219" i="4"/>
  <c r="H219" i="4"/>
  <c r="G219" i="4"/>
  <c r="F219" i="4"/>
  <c r="E219" i="4"/>
  <c r="J218" i="4"/>
  <c r="I218" i="4"/>
  <c r="H218" i="4"/>
  <c r="G218" i="4"/>
  <c r="F218" i="4"/>
  <c r="E218" i="4"/>
  <c r="J217" i="4"/>
  <c r="I217" i="4"/>
  <c r="H217" i="4"/>
  <c r="G217" i="4"/>
  <c r="F217" i="4"/>
  <c r="E217" i="4"/>
  <c r="J216" i="4"/>
  <c r="I216" i="4"/>
  <c r="H216" i="4"/>
  <c r="G216" i="4"/>
  <c r="F216" i="4"/>
  <c r="E216" i="4"/>
  <c r="J215" i="4"/>
  <c r="I215" i="4"/>
  <c r="H215" i="4"/>
  <c r="G215" i="4"/>
  <c r="F215" i="4"/>
  <c r="E215" i="4"/>
  <c r="J214" i="4"/>
  <c r="I214" i="4"/>
  <c r="H214" i="4"/>
  <c r="G214" i="4"/>
  <c r="F214" i="4"/>
  <c r="E214" i="4"/>
  <c r="J213" i="4"/>
  <c r="I213" i="4"/>
  <c r="H213" i="4"/>
  <c r="G213" i="4"/>
  <c r="F213" i="4"/>
  <c r="E213" i="4"/>
  <c r="J212" i="4"/>
  <c r="I212" i="4"/>
  <c r="H212" i="4"/>
  <c r="G212" i="4"/>
  <c r="F212" i="4"/>
  <c r="E212" i="4"/>
  <c r="J211" i="4"/>
  <c r="I211" i="4"/>
  <c r="H211" i="4"/>
  <c r="G211" i="4"/>
  <c r="F211" i="4"/>
  <c r="E211" i="4"/>
  <c r="J210" i="4"/>
  <c r="I210" i="4"/>
  <c r="H210" i="4"/>
  <c r="G210" i="4"/>
  <c r="F210" i="4"/>
  <c r="E210" i="4"/>
  <c r="J209" i="4"/>
  <c r="I209" i="4"/>
  <c r="H209" i="4"/>
  <c r="G209" i="4"/>
  <c r="F209" i="4"/>
  <c r="E209" i="4"/>
  <c r="J208" i="4"/>
  <c r="I208" i="4"/>
  <c r="H208" i="4"/>
  <c r="G208" i="4"/>
  <c r="F208" i="4"/>
  <c r="E208" i="4"/>
  <c r="J207" i="4"/>
  <c r="I207" i="4"/>
  <c r="H207" i="4"/>
  <c r="G207" i="4"/>
  <c r="F207" i="4"/>
  <c r="E207" i="4"/>
  <c r="J206" i="4"/>
  <c r="I206" i="4"/>
  <c r="H206" i="4"/>
  <c r="G206" i="4"/>
  <c r="F206" i="4"/>
  <c r="E206" i="4"/>
  <c r="J205" i="4"/>
  <c r="I205" i="4"/>
  <c r="H205" i="4"/>
  <c r="G205" i="4"/>
  <c r="F205" i="4"/>
  <c r="E205" i="4"/>
  <c r="J204" i="4"/>
  <c r="I204" i="4"/>
  <c r="H204" i="4"/>
  <c r="G204" i="4"/>
  <c r="F204" i="4"/>
  <c r="E204" i="4"/>
  <c r="J203" i="4"/>
  <c r="I203" i="4"/>
  <c r="H203" i="4"/>
  <c r="G203" i="4"/>
  <c r="F203" i="4"/>
  <c r="E203" i="4"/>
  <c r="J202" i="4"/>
  <c r="I202" i="4"/>
  <c r="H202" i="4"/>
  <c r="G202" i="4"/>
  <c r="F202" i="4"/>
  <c r="E202" i="4"/>
  <c r="J201" i="4"/>
  <c r="I201" i="4"/>
  <c r="H201" i="4"/>
  <c r="G201" i="4"/>
  <c r="F201" i="4"/>
  <c r="E201" i="4"/>
  <c r="J200" i="4"/>
  <c r="I200" i="4"/>
  <c r="H200" i="4"/>
  <c r="G200" i="4"/>
  <c r="F200" i="4"/>
  <c r="E200" i="4"/>
  <c r="J199" i="4"/>
  <c r="I199" i="4"/>
  <c r="H199" i="4"/>
  <c r="G199" i="4"/>
  <c r="F199" i="4"/>
  <c r="E199" i="4"/>
  <c r="J198" i="4"/>
  <c r="I198" i="4"/>
  <c r="H198" i="4"/>
  <c r="G198" i="4"/>
  <c r="F198" i="4"/>
  <c r="E198" i="4"/>
  <c r="J197" i="4"/>
  <c r="I197" i="4"/>
  <c r="H197" i="4"/>
  <c r="G197" i="4"/>
  <c r="F197" i="4"/>
  <c r="E197" i="4"/>
  <c r="J196" i="4"/>
  <c r="I196" i="4"/>
  <c r="H196" i="4"/>
  <c r="G196" i="4"/>
  <c r="F196" i="4"/>
  <c r="E196" i="4"/>
  <c r="J195" i="4"/>
  <c r="I195" i="4"/>
  <c r="H195" i="4"/>
  <c r="G195" i="4"/>
  <c r="F195" i="4"/>
  <c r="E195" i="4"/>
  <c r="J194" i="4"/>
  <c r="I194" i="4"/>
  <c r="H194" i="4"/>
  <c r="G194" i="4"/>
  <c r="F194" i="4"/>
  <c r="E194" i="4"/>
  <c r="J193" i="4"/>
  <c r="I193" i="4"/>
  <c r="H193" i="4"/>
  <c r="G193" i="4"/>
  <c r="F193" i="4"/>
  <c r="E193" i="4"/>
  <c r="J192" i="4"/>
  <c r="I192" i="4"/>
  <c r="H192" i="4"/>
  <c r="G192" i="4"/>
  <c r="F192" i="4"/>
  <c r="E192" i="4"/>
  <c r="J191" i="4"/>
  <c r="I191" i="4"/>
  <c r="H191" i="4"/>
  <c r="G191" i="4"/>
  <c r="F191" i="4"/>
  <c r="E191" i="4"/>
  <c r="J190" i="4"/>
  <c r="I190" i="4"/>
  <c r="H190" i="4"/>
  <c r="G190" i="4"/>
  <c r="F190" i="4"/>
  <c r="E190" i="4"/>
  <c r="J189" i="4"/>
  <c r="I189" i="4"/>
  <c r="H189" i="4"/>
  <c r="G189" i="4"/>
  <c r="F189" i="4"/>
  <c r="E189" i="4"/>
  <c r="J188" i="4"/>
  <c r="I188" i="4"/>
  <c r="H188" i="4"/>
  <c r="G188" i="4"/>
  <c r="F188" i="4"/>
  <c r="E188" i="4"/>
  <c r="J187" i="4"/>
  <c r="I187" i="4"/>
  <c r="H187" i="4"/>
  <c r="G187" i="4"/>
  <c r="F187" i="4"/>
  <c r="E187" i="4"/>
  <c r="J186" i="4"/>
  <c r="I186" i="4"/>
  <c r="H186" i="4"/>
  <c r="G186" i="4"/>
  <c r="F186" i="4"/>
  <c r="E186" i="4"/>
  <c r="J185" i="4"/>
  <c r="I185" i="4"/>
  <c r="H185" i="4"/>
  <c r="G185" i="4"/>
  <c r="F185" i="4"/>
  <c r="E185" i="4"/>
  <c r="J184" i="4"/>
  <c r="I184" i="4"/>
  <c r="H184" i="4"/>
  <c r="G184" i="4"/>
  <c r="F184" i="4"/>
  <c r="E184" i="4"/>
  <c r="J183" i="4"/>
  <c r="I183" i="4"/>
  <c r="H183" i="4"/>
  <c r="G183" i="4"/>
  <c r="F183" i="4"/>
  <c r="E183" i="4"/>
  <c r="J182" i="4"/>
  <c r="I182" i="4"/>
  <c r="H182" i="4"/>
  <c r="G182" i="4"/>
  <c r="F182" i="4"/>
  <c r="E182" i="4"/>
  <c r="J181" i="4"/>
  <c r="I181" i="4"/>
  <c r="H181" i="4"/>
  <c r="G181" i="4"/>
  <c r="F181" i="4"/>
  <c r="E181" i="4"/>
  <c r="J180" i="4"/>
  <c r="I180" i="4"/>
  <c r="H180" i="4"/>
  <c r="G180" i="4"/>
  <c r="F180" i="4"/>
  <c r="E180" i="4"/>
  <c r="J179" i="4"/>
  <c r="I179" i="4"/>
  <c r="H179" i="4"/>
  <c r="G179" i="4"/>
  <c r="F179" i="4"/>
  <c r="E179" i="4"/>
  <c r="J178" i="4"/>
  <c r="I178" i="4"/>
  <c r="H178" i="4"/>
  <c r="G178" i="4"/>
  <c r="F178" i="4"/>
  <c r="E178" i="4"/>
  <c r="J177" i="4"/>
  <c r="I177" i="4"/>
  <c r="H177" i="4"/>
  <c r="G177" i="4"/>
  <c r="F177" i="4"/>
  <c r="E177" i="4"/>
  <c r="J176" i="4"/>
  <c r="I176" i="4"/>
  <c r="H176" i="4"/>
  <c r="G176" i="4"/>
  <c r="F176" i="4"/>
  <c r="E176" i="4"/>
  <c r="J175" i="4"/>
  <c r="I175" i="4"/>
  <c r="H175" i="4"/>
  <c r="G175" i="4"/>
  <c r="F175" i="4"/>
  <c r="E175" i="4"/>
  <c r="J174" i="4"/>
  <c r="I174" i="4"/>
  <c r="H174" i="4"/>
  <c r="G174" i="4"/>
  <c r="F174" i="4"/>
  <c r="E174" i="4"/>
  <c r="J173" i="4"/>
  <c r="I173" i="4"/>
  <c r="H173" i="4"/>
  <c r="G173" i="4"/>
  <c r="F173" i="4"/>
  <c r="E173" i="4"/>
  <c r="J172" i="4"/>
  <c r="I172" i="4"/>
  <c r="H172" i="4"/>
  <c r="G172" i="4"/>
  <c r="F172" i="4"/>
  <c r="E172" i="4"/>
  <c r="J171" i="4"/>
  <c r="I171" i="4"/>
  <c r="H171" i="4"/>
  <c r="G171" i="4"/>
  <c r="F171" i="4"/>
  <c r="E171" i="4"/>
  <c r="J170" i="4"/>
  <c r="I170" i="4"/>
  <c r="H170" i="4"/>
  <c r="G170" i="4"/>
  <c r="F170" i="4"/>
  <c r="E170" i="4"/>
  <c r="J169" i="4"/>
  <c r="I169" i="4"/>
  <c r="H169" i="4"/>
  <c r="G169" i="4"/>
  <c r="F169" i="4"/>
  <c r="E169" i="4"/>
  <c r="J168" i="4"/>
  <c r="I168" i="4"/>
  <c r="H168" i="4"/>
  <c r="G168" i="4"/>
  <c r="F168" i="4"/>
  <c r="E168" i="4"/>
  <c r="J167" i="4"/>
  <c r="I167" i="4"/>
  <c r="H167" i="4"/>
  <c r="G167" i="4"/>
  <c r="F167" i="4"/>
  <c r="E167" i="4"/>
  <c r="J166" i="4"/>
  <c r="I166" i="4"/>
  <c r="H166" i="4"/>
  <c r="G166" i="4"/>
  <c r="F166" i="4"/>
  <c r="E166" i="4"/>
  <c r="J165" i="4"/>
  <c r="I165" i="4"/>
  <c r="H165" i="4"/>
  <c r="G165" i="4"/>
  <c r="F165" i="4"/>
  <c r="E165" i="4"/>
  <c r="J164" i="4"/>
  <c r="I164" i="4"/>
  <c r="H164" i="4"/>
  <c r="G164" i="4"/>
  <c r="F164" i="4"/>
  <c r="E164" i="4"/>
  <c r="J163" i="4"/>
  <c r="I163" i="4"/>
  <c r="H163" i="4"/>
  <c r="G163" i="4"/>
  <c r="F163" i="4"/>
  <c r="E163" i="4"/>
  <c r="J162" i="4"/>
  <c r="I162" i="4"/>
  <c r="H162" i="4"/>
  <c r="G162" i="4"/>
  <c r="F162" i="4"/>
  <c r="E162" i="4"/>
  <c r="J161" i="4"/>
  <c r="I161" i="4"/>
  <c r="H161" i="4"/>
  <c r="G161" i="4"/>
  <c r="F161" i="4"/>
  <c r="E161" i="4"/>
  <c r="J160" i="4"/>
  <c r="I160" i="4"/>
  <c r="H160" i="4"/>
  <c r="G160" i="4"/>
  <c r="F160" i="4"/>
  <c r="E160" i="4"/>
  <c r="J159" i="4"/>
  <c r="I159" i="4"/>
  <c r="H159" i="4"/>
  <c r="G159" i="4"/>
  <c r="F159" i="4"/>
  <c r="E159" i="4"/>
  <c r="J158" i="4"/>
  <c r="I158" i="4"/>
  <c r="H158" i="4"/>
  <c r="G158" i="4"/>
  <c r="F158" i="4"/>
  <c r="E158" i="4"/>
  <c r="J157" i="4"/>
  <c r="I157" i="4"/>
  <c r="H157" i="4"/>
  <c r="G157" i="4"/>
  <c r="F157" i="4"/>
  <c r="E157" i="4"/>
  <c r="J156" i="4"/>
  <c r="I156" i="4"/>
  <c r="H156" i="4"/>
  <c r="G156" i="4"/>
  <c r="F156" i="4"/>
  <c r="E156" i="4"/>
  <c r="J155" i="4"/>
  <c r="I155" i="4"/>
  <c r="H155" i="4"/>
  <c r="G155" i="4"/>
  <c r="F155" i="4"/>
  <c r="E155" i="4"/>
  <c r="J154" i="4"/>
  <c r="I154" i="4"/>
  <c r="H154" i="4"/>
  <c r="G154" i="4"/>
  <c r="F154" i="4"/>
  <c r="E154" i="4"/>
  <c r="J153" i="4"/>
  <c r="I153" i="4"/>
  <c r="H153" i="4"/>
  <c r="G153" i="4"/>
  <c r="F153" i="4"/>
  <c r="E153" i="4"/>
  <c r="J152" i="4"/>
  <c r="I152" i="4"/>
  <c r="H152" i="4"/>
  <c r="G152" i="4"/>
  <c r="F152" i="4"/>
  <c r="E152" i="4"/>
  <c r="J151" i="4"/>
  <c r="I151" i="4"/>
  <c r="H151" i="4"/>
  <c r="G151" i="4"/>
  <c r="F151" i="4"/>
  <c r="E151" i="4"/>
  <c r="J150" i="4"/>
  <c r="I150" i="4"/>
  <c r="H150" i="4"/>
  <c r="G150" i="4"/>
  <c r="F150" i="4"/>
  <c r="E150" i="4"/>
  <c r="J149" i="4"/>
  <c r="I149" i="4"/>
  <c r="H149" i="4"/>
  <c r="G149" i="4"/>
  <c r="F149" i="4"/>
  <c r="E149" i="4"/>
  <c r="J148" i="4"/>
  <c r="I148" i="4"/>
  <c r="H148" i="4"/>
  <c r="G148" i="4"/>
  <c r="F148" i="4"/>
  <c r="E148" i="4"/>
  <c r="J147" i="4"/>
  <c r="I147" i="4"/>
  <c r="H147" i="4"/>
  <c r="G147" i="4"/>
  <c r="F147" i="4"/>
  <c r="E147" i="4"/>
  <c r="J146" i="4"/>
  <c r="I146" i="4"/>
  <c r="H146" i="4"/>
  <c r="G146" i="4"/>
  <c r="F146" i="4"/>
  <c r="E146" i="4"/>
  <c r="J145" i="4"/>
  <c r="I145" i="4"/>
  <c r="H145" i="4"/>
  <c r="G145" i="4"/>
  <c r="F145" i="4"/>
  <c r="E145" i="4"/>
  <c r="J144" i="4"/>
  <c r="I144" i="4"/>
  <c r="H144" i="4"/>
  <c r="G144" i="4"/>
  <c r="F144" i="4"/>
  <c r="E144" i="4"/>
  <c r="J143" i="4"/>
  <c r="I143" i="4"/>
  <c r="H143" i="4"/>
  <c r="G143" i="4"/>
  <c r="F143" i="4"/>
  <c r="E143" i="4"/>
  <c r="J142" i="4"/>
  <c r="I142" i="4"/>
  <c r="H142" i="4"/>
  <c r="G142" i="4"/>
  <c r="F142" i="4"/>
  <c r="E142" i="4"/>
  <c r="J141" i="4"/>
  <c r="I141" i="4"/>
  <c r="H141" i="4"/>
  <c r="G141" i="4"/>
  <c r="F141" i="4"/>
  <c r="E141" i="4"/>
  <c r="J140" i="4"/>
  <c r="I140" i="4"/>
  <c r="H140" i="4"/>
  <c r="G140" i="4"/>
  <c r="F140" i="4"/>
  <c r="E140" i="4"/>
  <c r="J139" i="4"/>
  <c r="I139" i="4"/>
  <c r="H139" i="4"/>
  <c r="G139" i="4"/>
  <c r="F139" i="4"/>
  <c r="E139" i="4"/>
  <c r="J138" i="4"/>
  <c r="I138" i="4"/>
  <c r="H138" i="4"/>
  <c r="G138" i="4"/>
  <c r="F138" i="4"/>
  <c r="E138" i="4"/>
  <c r="J137" i="4"/>
  <c r="I137" i="4"/>
  <c r="H137" i="4"/>
  <c r="G137" i="4"/>
  <c r="F137" i="4"/>
  <c r="E137" i="4"/>
  <c r="J136" i="4"/>
  <c r="I136" i="4"/>
  <c r="H136" i="4"/>
  <c r="G136" i="4"/>
  <c r="F136" i="4"/>
  <c r="E136" i="4"/>
  <c r="J135" i="4"/>
  <c r="I135" i="4"/>
  <c r="H135" i="4"/>
  <c r="G135" i="4"/>
  <c r="F135" i="4"/>
  <c r="E135" i="4"/>
  <c r="J134" i="4"/>
  <c r="I134" i="4"/>
  <c r="H134" i="4"/>
  <c r="G134" i="4"/>
  <c r="F134" i="4"/>
  <c r="E134" i="4"/>
  <c r="J133" i="4"/>
  <c r="I133" i="4"/>
  <c r="H133" i="4"/>
  <c r="G133" i="4"/>
  <c r="F133" i="4"/>
  <c r="E133" i="4"/>
  <c r="J132" i="4"/>
  <c r="I132" i="4"/>
  <c r="H132" i="4"/>
  <c r="G132" i="4"/>
  <c r="F132" i="4"/>
  <c r="E132" i="4"/>
  <c r="J131" i="4"/>
  <c r="I131" i="4"/>
  <c r="H131" i="4"/>
  <c r="G131" i="4"/>
  <c r="F131" i="4"/>
  <c r="E131" i="4"/>
  <c r="J130" i="4"/>
  <c r="I130" i="4"/>
  <c r="H130" i="4"/>
  <c r="G130" i="4"/>
  <c r="F130" i="4"/>
  <c r="E130" i="4"/>
  <c r="J129" i="4"/>
  <c r="I129" i="4"/>
  <c r="H129" i="4"/>
  <c r="G129" i="4"/>
  <c r="F129" i="4"/>
  <c r="E129" i="4"/>
  <c r="J128" i="4"/>
  <c r="I128" i="4"/>
  <c r="H128" i="4"/>
  <c r="G128" i="4"/>
  <c r="F128" i="4"/>
  <c r="E128" i="4"/>
  <c r="J127" i="4"/>
  <c r="I127" i="4"/>
  <c r="H127" i="4"/>
  <c r="G127" i="4"/>
  <c r="F127" i="4"/>
  <c r="E127" i="4"/>
  <c r="J126" i="4"/>
  <c r="I126" i="4"/>
  <c r="H126" i="4"/>
  <c r="G126" i="4"/>
  <c r="F126" i="4"/>
  <c r="E126" i="4"/>
  <c r="J125" i="4"/>
  <c r="I125" i="4"/>
  <c r="H125" i="4"/>
  <c r="G125" i="4"/>
  <c r="F125" i="4"/>
  <c r="E125" i="4"/>
  <c r="J124" i="4"/>
  <c r="I124" i="4"/>
  <c r="H124" i="4"/>
  <c r="G124" i="4"/>
  <c r="F124" i="4"/>
  <c r="E124" i="4"/>
  <c r="J123" i="4"/>
  <c r="I123" i="4"/>
  <c r="H123" i="4"/>
  <c r="G123" i="4"/>
  <c r="F123" i="4"/>
  <c r="E123" i="4"/>
  <c r="J122" i="4"/>
  <c r="I122" i="4"/>
  <c r="H122" i="4"/>
  <c r="G122" i="4"/>
  <c r="F122" i="4"/>
  <c r="E122" i="4"/>
  <c r="J121" i="4"/>
  <c r="I121" i="4"/>
  <c r="H121" i="4"/>
  <c r="G121" i="4"/>
  <c r="F121" i="4"/>
  <c r="E121" i="4"/>
  <c r="J120" i="4"/>
  <c r="I120" i="4"/>
  <c r="H120" i="4"/>
  <c r="G120" i="4"/>
  <c r="F120" i="4"/>
  <c r="E120" i="4"/>
  <c r="J119" i="4"/>
  <c r="I119" i="4"/>
  <c r="H119" i="4"/>
  <c r="G119" i="4"/>
  <c r="F119" i="4"/>
  <c r="E119" i="4"/>
  <c r="J118" i="4"/>
  <c r="I118" i="4"/>
  <c r="H118" i="4"/>
  <c r="G118" i="4"/>
  <c r="F118" i="4"/>
  <c r="E118" i="4"/>
  <c r="J117" i="4"/>
  <c r="I117" i="4"/>
  <c r="H117" i="4"/>
  <c r="G117" i="4"/>
  <c r="F117" i="4"/>
  <c r="E117" i="4"/>
  <c r="J116" i="4"/>
  <c r="I116" i="4"/>
  <c r="H116" i="4"/>
  <c r="G116" i="4"/>
  <c r="F116" i="4"/>
  <c r="E116" i="4"/>
  <c r="J115" i="4"/>
  <c r="I115" i="4"/>
  <c r="H115" i="4"/>
  <c r="G115" i="4"/>
  <c r="F115" i="4"/>
  <c r="E115" i="4"/>
  <c r="J114" i="4"/>
  <c r="I114" i="4"/>
  <c r="H114" i="4"/>
  <c r="G114" i="4"/>
  <c r="F114" i="4"/>
  <c r="E114" i="4"/>
  <c r="J113" i="4"/>
  <c r="I113" i="4"/>
  <c r="H113" i="4"/>
  <c r="G113" i="4"/>
  <c r="F113" i="4"/>
  <c r="E113" i="4"/>
  <c r="J112" i="4"/>
  <c r="I112" i="4"/>
  <c r="H112" i="4"/>
  <c r="G112" i="4"/>
  <c r="F112" i="4"/>
  <c r="E112" i="4"/>
  <c r="J111" i="4"/>
  <c r="I111" i="4"/>
  <c r="H111" i="4"/>
  <c r="G111" i="4"/>
  <c r="F111" i="4"/>
  <c r="E111" i="4"/>
  <c r="J110" i="4"/>
  <c r="I110" i="4"/>
  <c r="H110" i="4"/>
  <c r="G110" i="4"/>
  <c r="F110" i="4"/>
  <c r="E110" i="4"/>
  <c r="J109" i="4"/>
  <c r="I109" i="4"/>
  <c r="H109" i="4"/>
  <c r="G109" i="4"/>
  <c r="F109" i="4"/>
  <c r="E109" i="4"/>
  <c r="J108" i="4"/>
  <c r="I108" i="4"/>
  <c r="H108" i="4"/>
  <c r="G108" i="4"/>
  <c r="F108" i="4"/>
  <c r="E108" i="4"/>
  <c r="J107" i="4"/>
  <c r="I107" i="4"/>
  <c r="H107" i="4"/>
  <c r="G107" i="4"/>
  <c r="F107" i="4"/>
  <c r="E107" i="4"/>
  <c r="J106" i="4"/>
  <c r="I106" i="4"/>
  <c r="H106" i="4"/>
  <c r="G106" i="4"/>
  <c r="F106" i="4"/>
  <c r="E106" i="4"/>
  <c r="J105" i="4"/>
  <c r="I105" i="4"/>
  <c r="H105" i="4"/>
  <c r="G105" i="4"/>
  <c r="F105" i="4"/>
  <c r="E105" i="4"/>
  <c r="J104" i="4"/>
  <c r="I104" i="4"/>
  <c r="H104" i="4"/>
  <c r="G104" i="4"/>
  <c r="F104" i="4"/>
  <c r="E104" i="4"/>
  <c r="J103" i="4"/>
  <c r="I103" i="4"/>
  <c r="H103" i="4"/>
  <c r="G103" i="4"/>
  <c r="F103" i="4"/>
  <c r="E103" i="4"/>
  <c r="J102" i="4"/>
  <c r="I102" i="4"/>
  <c r="H102" i="4"/>
  <c r="G102" i="4"/>
  <c r="F102" i="4"/>
  <c r="E102" i="4"/>
  <c r="J101" i="4"/>
  <c r="I101" i="4"/>
  <c r="H101" i="4"/>
  <c r="G101" i="4"/>
  <c r="F101" i="4"/>
  <c r="E101" i="4"/>
  <c r="J100" i="4"/>
  <c r="I100" i="4"/>
  <c r="H100" i="4"/>
  <c r="G100" i="4"/>
  <c r="F100" i="4"/>
  <c r="E100" i="4"/>
  <c r="J99" i="4"/>
  <c r="I99" i="4"/>
  <c r="H99" i="4"/>
  <c r="G99" i="4"/>
  <c r="F99" i="4"/>
  <c r="E99" i="4"/>
  <c r="J98" i="4"/>
  <c r="I98" i="4"/>
  <c r="H98" i="4"/>
  <c r="G98" i="4"/>
  <c r="F98" i="4"/>
  <c r="E98" i="4"/>
  <c r="J97" i="4"/>
  <c r="I97" i="4"/>
  <c r="H97" i="4"/>
  <c r="G97" i="4"/>
  <c r="F97" i="4"/>
  <c r="E97" i="4"/>
  <c r="J96" i="4"/>
  <c r="I96" i="4"/>
  <c r="H96" i="4"/>
  <c r="G96" i="4"/>
  <c r="F96" i="4"/>
  <c r="E96" i="4"/>
  <c r="J95" i="4"/>
  <c r="I95" i="4"/>
  <c r="H95" i="4"/>
  <c r="G95" i="4"/>
  <c r="F95" i="4"/>
  <c r="E95" i="4"/>
  <c r="J94" i="4"/>
  <c r="I94" i="4"/>
  <c r="H94" i="4"/>
  <c r="G94" i="4"/>
  <c r="F94" i="4"/>
  <c r="E94" i="4"/>
  <c r="J93" i="4"/>
  <c r="I93" i="4"/>
  <c r="H93" i="4"/>
  <c r="G93" i="4"/>
  <c r="F93" i="4"/>
  <c r="E93" i="4"/>
  <c r="J92" i="4"/>
  <c r="I92" i="4"/>
  <c r="H92" i="4"/>
  <c r="G92" i="4"/>
  <c r="F92" i="4"/>
  <c r="E92" i="4"/>
  <c r="J91" i="4"/>
  <c r="I91" i="4"/>
  <c r="H91" i="4"/>
  <c r="G91" i="4"/>
  <c r="F91" i="4"/>
  <c r="E91" i="4"/>
  <c r="J90" i="4"/>
  <c r="I90" i="4"/>
  <c r="H90" i="4"/>
  <c r="G90" i="4"/>
  <c r="F90" i="4"/>
  <c r="E90" i="4"/>
  <c r="J89" i="4"/>
  <c r="I89" i="4"/>
  <c r="H89" i="4"/>
  <c r="G89" i="4"/>
  <c r="F89" i="4"/>
  <c r="E89" i="4"/>
  <c r="J88" i="4"/>
  <c r="I88" i="4"/>
  <c r="H88" i="4"/>
  <c r="G88" i="4"/>
  <c r="F88" i="4"/>
  <c r="E88" i="4"/>
  <c r="J87" i="4"/>
  <c r="I87" i="4"/>
  <c r="H87" i="4"/>
  <c r="G87" i="4"/>
  <c r="F87" i="4"/>
  <c r="E87" i="4"/>
  <c r="J86" i="4"/>
  <c r="I86" i="4"/>
  <c r="H86" i="4"/>
  <c r="G86" i="4"/>
  <c r="F86" i="4"/>
  <c r="E86" i="4"/>
  <c r="J85" i="4"/>
  <c r="I85" i="4"/>
  <c r="H85" i="4"/>
  <c r="G85" i="4"/>
  <c r="F85" i="4"/>
  <c r="E85" i="4"/>
  <c r="J84" i="4"/>
  <c r="I84" i="4"/>
  <c r="H84" i="4"/>
  <c r="G84" i="4"/>
  <c r="F84" i="4"/>
  <c r="E84" i="4"/>
  <c r="J83" i="4"/>
  <c r="I83" i="4"/>
  <c r="H83" i="4"/>
  <c r="G83" i="4"/>
  <c r="F83" i="4"/>
  <c r="E83" i="4"/>
  <c r="J82" i="4"/>
  <c r="I82" i="4"/>
  <c r="H82" i="4"/>
  <c r="G82" i="4"/>
  <c r="F82" i="4"/>
  <c r="E82" i="4"/>
  <c r="J81" i="4"/>
  <c r="I81" i="4"/>
  <c r="H81" i="4"/>
  <c r="G81" i="4"/>
  <c r="F81" i="4"/>
  <c r="E81" i="4"/>
  <c r="J80" i="4"/>
  <c r="I80" i="4"/>
  <c r="H80" i="4"/>
  <c r="G80" i="4"/>
  <c r="F80" i="4"/>
  <c r="E80" i="4"/>
  <c r="J79" i="4"/>
  <c r="I79" i="4"/>
  <c r="H79" i="4"/>
  <c r="G79" i="4"/>
  <c r="F79" i="4"/>
  <c r="E79" i="4"/>
  <c r="J78" i="4"/>
  <c r="I78" i="4"/>
  <c r="H78" i="4"/>
  <c r="G78" i="4"/>
  <c r="F78" i="4"/>
  <c r="E78" i="4"/>
  <c r="J77" i="4"/>
  <c r="I77" i="4"/>
  <c r="H77" i="4"/>
  <c r="G77" i="4"/>
  <c r="F77" i="4"/>
  <c r="E77" i="4"/>
  <c r="J76" i="4"/>
  <c r="I76" i="4"/>
  <c r="H76" i="4"/>
  <c r="G76" i="4"/>
  <c r="F76" i="4"/>
  <c r="E76" i="4"/>
  <c r="J75" i="4"/>
  <c r="I75" i="4"/>
  <c r="H75" i="4"/>
  <c r="G75" i="4"/>
  <c r="F75" i="4"/>
  <c r="E75" i="4"/>
  <c r="J74" i="4"/>
  <c r="I74" i="4"/>
  <c r="H74" i="4"/>
  <c r="G74" i="4"/>
  <c r="F74" i="4"/>
  <c r="E74" i="4"/>
  <c r="J73" i="4"/>
  <c r="I73" i="4"/>
  <c r="H73" i="4"/>
  <c r="G73" i="4"/>
  <c r="F73" i="4"/>
  <c r="E73" i="4"/>
  <c r="J72" i="4"/>
  <c r="I72" i="4"/>
  <c r="H72" i="4"/>
  <c r="G72" i="4"/>
  <c r="F72" i="4"/>
  <c r="E72" i="4"/>
  <c r="J71" i="4"/>
  <c r="I71" i="4"/>
  <c r="H71" i="4"/>
  <c r="G71" i="4"/>
  <c r="F71" i="4"/>
  <c r="E71" i="4"/>
  <c r="J70" i="4"/>
  <c r="I70" i="4"/>
  <c r="H70" i="4"/>
  <c r="G70" i="4"/>
  <c r="F70" i="4"/>
  <c r="E70" i="4"/>
  <c r="J69" i="4"/>
  <c r="I69" i="4"/>
  <c r="H69" i="4"/>
  <c r="G69" i="4"/>
  <c r="F69" i="4"/>
  <c r="E69" i="4"/>
  <c r="J68" i="4"/>
  <c r="I68" i="4"/>
  <c r="H68" i="4"/>
  <c r="G68" i="4"/>
  <c r="F68" i="4"/>
  <c r="E68" i="4"/>
  <c r="J67" i="4"/>
  <c r="I67" i="4"/>
  <c r="H67" i="4"/>
  <c r="G67" i="4"/>
  <c r="F67" i="4"/>
  <c r="E67" i="4"/>
  <c r="J66" i="4"/>
  <c r="I66" i="4"/>
  <c r="H66" i="4"/>
  <c r="G66" i="4"/>
  <c r="F66" i="4"/>
  <c r="E66" i="4"/>
  <c r="J65" i="4"/>
  <c r="I65" i="4"/>
  <c r="H65" i="4"/>
  <c r="G65" i="4"/>
  <c r="F65" i="4"/>
  <c r="E65" i="4"/>
  <c r="J64" i="4"/>
  <c r="I64" i="4"/>
  <c r="H64" i="4"/>
  <c r="G64" i="4"/>
  <c r="F64" i="4"/>
  <c r="E64" i="4"/>
  <c r="J63" i="4"/>
  <c r="I63" i="4"/>
  <c r="H63" i="4"/>
  <c r="G63" i="4"/>
  <c r="F63" i="4"/>
  <c r="E63" i="4"/>
  <c r="J62" i="4"/>
  <c r="I62" i="4"/>
  <c r="H62" i="4"/>
  <c r="G62" i="4"/>
  <c r="F62" i="4"/>
  <c r="E62" i="4"/>
  <c r="J61" i="4"/>
  <c r="I61" i="4"/>
  <c r="H61" i="4"/>
  <c r="G61" i="4"/>
  <c r="F61" i="4"/>
  <c r="E61" i="4"/>
  <c r="J60" i="4"/>
  <c r="I60" i="4"/>
  <c r="H60" i="4"/>
  <c r="G60" i="4"/>
  <c r="F60" i="4"/>
  <c r="E60" i="4"/>
  <c r="J59" i="4"/>
  <c r="I59" i="4"/>
  <c r="H59" i="4"/>
  <c r="G59" i="4"/>
  <c r="F59" i="4"/>
  <c r="E59" i="4"/>
  <c r="J58" i="4"/>
  <c r="I58" i="4"/>
  <c r="H58" i="4"/>
  <c r="G58" i="4"/>
  <c r="F58" i="4"/>
  <c r="E58" i="4"/>
  <c r="J57" i="4"/>
  <c r="I57" i="4"/>
  <c r="H57" i="4"/>
  <c r="G57" i="4"/>
  <c r="F57" i="4"/>
  <c r="E57" i="4"/>
  <c r="J56" i="4"/>
  <c r="I56" i="4"/>
  <c r="H56" i="4"/>
  <c r="G56" i="4"/>
  <c r="F56" i="4"/>
  <c r="E56" i="4"/>
  <c r="J55" i="4"/>
  <c r="I55" i="4"/>
  <c r="H55" i="4"/>
  <c r="G55" i="4"/>
  <c r="F55" i="4"/>
  <c r="E55" i="4"/>
  <c r="J54" i="4"/>
  <c r="I54" i="4"/>
  <c r="H54" i="4"/>
  <c r="G54" i="4"/>
  <c r="F54" i="4"/>
  <c r="E54" i="4"/>
  <c r="J53" i="4"/>
  <c r="I53" i="4"/>
  <c r="H53" i="4"/>
  <c r="G53" i="4"/>
  <c r="F53" i="4"/>
  <c r="E53" i="4"/>
  <c r="J52" i="4"/>
  <c r="I52" i="4"/>
  <c r="H52" i="4"/>
  <c r="G52" i="4"/>
  <c r="F52" i="4"/>
  <c r="E52" i="4"/>
  <c r="J51" i="4"/>
  <c r="I51" i="4"/>
  <c r="H51" i="4"/>
  <c r="G51" i="4"/>
  <c r="F51" i="4"/>
  <c r="E51" i="4"/>
  <c r="J50" i="4"/>
  <c r="I50" i="4"/>
  <c r="H50" i="4"/>
  <c r="G50" i="4"/>
  <c r="F50" i="4"/>
  <c r="E50" i="4"/>
  <c r="J49" i="4"/>
  <c r="I49" i="4"/>
  <c r="H49" i="4"/>
  <c r="G49" i="4"/>
  <c r="F49" i="4"/>
  <c r="E49" i="4"/>
  <c r="J48" i="4"/>
  <c r="I48" i="4"/>
  <c r="H48" i="4"/>
  <c r="G48" i="4"/>
  <c r="F48" i="4"/>
  <c r="E48" i="4"/>
  <c r="J47" i="4"/>
  <c r="I47" i="4"/>
  <c r="H47" i="4"/>
  <c r="G47" i="4"/>
  <c r="F47" i="4"/>
  <c r="E47" i="4"/>
  <c r="J46" i="4"/>
  <c r="I46" i="4"/>
  <c r="H46" i="4"/>
  <c r="G46" i="4"/>
  <c r="F46" i="4"/>
  <c r="E46" i="4"/>
  <c r="J45" i="4"/>
  <c r="I45" i="4"/>
  <c r="H45" i="4"/>
  <c r="G45" i="4"/>
  <c r="F45" i="4"/>
  <c r="E45" i="4"/>
  <c r="J44" i="4"/>
  <c r="I44" i="4"/>
  <c r="H44" i="4"/>
  <c r="G44" i="4"/>
  <c r="F44" i="4"/>
  <c r="E44" i="4"/>
  <c r="J43" i="4"/>
  <c r="I43" i="4"/>
  <c r="H43" i="4"/>
  <c r="G43" i="4"/>
  <c r="F43" i="4"/>
  <c r="E43" i="4"/>
  <c r="J42" i="4"/>
  <c r="I42" i="4"/>
  <c r="H42" i="4"/>
  <c r="G42" i="4"/>
  <c r="F42" i="4"/>
  <c r="E42" i="4"/>
  <c r="J41" i="4"/>
  <c r="I41" i="4"/>
  <c r="H41" i="4"/>
  <c r="G41" i="4"/>
  <c r="F41" i="4"/>
  <c r="E41" i="4"/>
  <c r="J40" i="4"/>
  <c r="I40" i="4"/>
  <c r="H40" i="4"/>
  <c r="G40" i="4"/>
  <c r="F40" i="4"/>
  <c r="E40" i="4"/>
  <c r="J39" i="4"/>
  <c r="I39" i="4"/>
  <c r="H39" i="4"/>
  <c r="G39" i="4"/>
  <c r="F39" i="4"/>
  <c r="E39" i="4"/>
  <c r="J38" i="4"/>
  <c r="I38" i="4"/>
  <c r="H38" i="4"/>
  <c r="G38" i="4"/>
  <c r="F38" i="4"/>
  <c r="E38" i="4"/>
  <c r="J37" i="4"/>
  <c r="I37" i="4"/>
  <c r="H37" i="4"/>
  <c r="G37" i="4"/>
  <c r="F37" i="4"/>
  <c r="E37" i="4"/>
  <c r="J36" i="4"/>
  <c r="I36" i="4"/>
  <c r="H36" i="4"/>
  <c r="G36" i="4"/>
  <c r="F36" i="4"/>
  <c r="E36" i="4"/>
  <c r="J35" i="4"/>
  <c r="I35" i="4"/>
  <c r="H35" i="4"/>
  <c r="G35" i="4"/>
  <c r="F35" i="4"/>
  <c r="E35" i="4"/>
  <c r="J34" i="4"/>
  <c r="I34" i="4"/>
  <c r="H34" i="4"/>
  <c r="G34" i="4"/>
  <c r="F34" i="4"/>
  <c r="E34" i="4"/>
  <c r="J33" i="4"/>
  <c r="I33" i="4"/>
  <c r="H33" i="4"/>
  <c r="G33" i="4"/>
  <c r="F33" i="4"/>
  <c r="E33" i="4"/>
  <c r="J32" i="4"/>
  <c r="I32" i="4"/>
  <c r="H32" i="4"/>
  <c r="G32" i="4"/>
  <c r="F32" i="4"/>
  <c r="E32" i="4"/>
  <c r="J31" i="4"/>
  <c r="I31" i="4"/>
  <c r="H31" i="4"/>
  <c r="G31" i="4"/>
  <c r="F31" i="4"/>
  <c r="E31" i="4"/>
  <c r="J30" i="4"/>
  <c r="I30" i="4"/>
  <c r="H30" i="4"/>
  <c r="G30" i="4"/>
  <c r="F30" i="4"/>
  <c r="E30" i="4"/>
  <c r="J29" i="4"/>
  <c r="I29" i="4"/>
  <c r="H29" i="4"/>
  <c r="G29" i="4"/>
  <c r="F29" i="4"/>
  <c r="E29" i="4"/>
  <c r="J28" i="4"/>
  <c r="I28" i="4"/>
  <c r="H28" i="4"/>
  <c r="G28" i="4"/>
  <c r="F28" i="4"/>
  <c r="E28" i="4"/>
  <c r="J27" i="4"/>
  <c r="I27" i="4"/>
  <c r="H27" i="4"/>
  <c r="G27" i="4"/>
  <c r="F27" i="4"/>
  <c r="E27" i="4"/>
  <c r="J26" i="4"/>
  <c r="I26" i="4"/>
  <c r="H26" i="4"/>
  <c r="G26" i="4"/>
  <c r="F26" i="4"/>
  <c r="E26" i="4"/>
  <c r="J25" i="4"/>
  <c r="I25" i="4"/>
  <c r="H25" i="4"/>
  <c r="G25" i="4"/>
  <c r="F25" i="4"/>
  <c r="E25" i="4"/>
  <c r="J24" i="4"/>
  <c r="I24" i="4"/>
  <c r="H24" i="4"/>
  <c r="G24" i="4"/>
  <c r="F24" i="4"/>
  <c r="E24" i="4"/>
  <c r="J23" i="4"/>
  <c r="I23" i="4"/>
  <c r="H23" i="4"/>
  <c r="G23" i="4"/>
  <c r="F23" i="4"/>
  <c r="E23" i="4"/>
  <c r="J22" i="4"/>
  <c r="I22" i="4"/>
  <c r="H22" i="4"/>
  <c r="G22" i="4"/>
  <c r="F22" i="4"/>
  <c r="E22" i="4"/>
  <c r="J21" i="4"/>
  <c r="I21" i="4"/>
  <c r="H21" i="4"/>
  <c r="G21" i="4"/>
  <c r="F21" i="4"/>
  <c r="E21" i="4"/>
  <c r="J20" i="4"/>
  <c r="I20" i="4"/>
  <c r="H20" i="4"/>
  <c r="G20" i="4"/>
  <c r="F20" i="4"/>
  <c r="E20" i="4"/>
  <c r="J19" i="4"/>
  <c r="I19" i="4"/>
  <c r="H19" i="4"/>
  <c r="G19" i="4"/>
  <c r="F19" i="4"/>
  <c r="E19" i="4"/>
  <c r="J18" i="4"/>
  <c r="I18" i="4"/>
  <c r="H18" i="4"/>
  <c r="G18" i="4"/>
  <c r="F18" i="4"/>
  <c r="E18" i="4"/>
  <c r="J17" i="4"/>
  <c r="I17" i="4"/>
  <c r="H17" i="4"/>
  <c r="G17" i="4"/>
  <c r="F17" i="4"/>
  <c r="E17" i="4"/>
  <c r="J16" i="4"/>
  <c r="I16" i="4"/>
  <c r="H16" i="4"/>
  <c r="G16" i="4"/>
  <c r="F16" i="4"/>
  <c r="E16" i="4"/>
  <c r="J15" i="4"/>
  <c r="I15" i="4"/>
  <c r="H15" i="4"/>
  <c r="G15" i="4"/>
  <c r="F15" i="4"/>
  <c r="E15" i="4"/>
  <c r="J14" i="4"/>
  <c r="I14" i="4"/>
  <c r="H14" i="4"/>
  <c r="G14" i="4"/>
  <c r="F14" i="4"/>
  <c r="E14" i="4"/>
  <c r="J13" i="4"/>
  <c r="I13" i="4"/>
  <c r="H13" i="4"/>
  <c r="G13" i="4"/>
  <c r="F13" i="4"/>
  <c r="E13" i="4"/>
  <c r="J12" i="4"/>
  <c r="I12" i="4"/>
  <c r="H12" i="4"/>
  <c r="G12" i="4"/>
  <c r="F12" i="4"/>
  <c r="E12" i="4"/>
  <c r="J11" i="4"/>
  <c r="I11" i="4"/>
  <c r="H11" i="4"/>
  <c r="G11" i="4"/>
  <c r="F11" i="4"/>
  <c r="E11" i="4"/>
  <c r="J10" i="4"/>
  <c r="I10" i="4"/>
  <c r="H10" i="4"/>
  <c r="G10" i="4"/>
  <c r="F10" i="4"/>
  <c r="E10" i="4"/>
  <c r="J9" i="4"/>
  <c r="I9" i="4"/>
  <c r="H9" i="4"/>
  <c r="G9" i="4"/>
  <c r="F9" i="4"/>
  <c r="E9" i="4"/>
  <c r="J8" i="4"/>
  <c r="I8" i="4"/>
  <c r="H8" i="4"/>
  <c r="G8" i="4"/>
  <c r="F8" i="4"/>
  <c r="E8" i="4"/>
  <c r="J7" i="4"/>
  <c r="I7" i="4"/>
  <c r="H7" i="4"/>
  <c r="G7" i="4"/>
  <c r="F7" i="4"/>
  <c r="E7" i="4"/>
  <c r="J6" i="4"/>
  <c r="I6" i="4"/>
  <c r="H6" i="4"/>
  <c r="G6" i="4"/>
  <c r="F6" i="4"/>
  <c r="E6" i="4"/>
  <c r="J5" i="4"/>
  <c r="I5" i="4"/>
  <c r="H5" i="4"/>
  <c r="G5" i="4"/>
  <c r="F5" i="4"/>
  <c r="E5" i="4"/>
  <c r="J4" i="4"/>
  <c r="I4" i="4"/>
  <c r="H4" i="4"/>
  <c r="G4" i="4"/>
  <c r="F4" i="4"/>
  <c r="E4" i="4"/>
  <c r="J3" i="4"/>
  <c r="I3" i="4"/>
  <c r="H3" i="4"/>
  <c r="G3" i="4"/>
  <c r="F3" i="4"/>
  <c r="E3" i="4"/>
  <c r="J2" i="4"/>
  <c r="I2" i="4"/>
  <c r="H2" i="4"/>
  <c r="G2" i="4"/>
  <c r="F2" i="4"/>
  <c r="E2" i="4"/>
  <c r="V321" i="7" l="1"/>
  <c r="V307" i="7"/>
  <c r="V305" i="7"/>
  <c r="V303" i="7"/>
  <c r="V301" i="7"/>
  <c r="V299" i="7"/>
  <c r="V297" i="7"/>
  <c r="V295" i="7"/>
  <c r="V293" i="7"/>
  <c r="V291" i="7"/>
  <c r="V289" i="7"/>
  <c r="V287" i="7"/>
  <c r="V285" i="7"/>
  <c r="V283" i="7"/>
  <c r="V281" i="7"/>
  <c r="V275" i="7"/>
  <c r="V270" i="7"/>
  <c r="V268" i="7"/>
  <c r="V252" i="7"/>
  <c r="V226" i="7"/>
  <c r="V221" i="7"/>
  <c r="V216" i="7"/>
  <c r="V199" i="7"/>
  <c r="V194" i="7"/>
  <c r="V193" i="7"/>
  <c r="V153" i="7"/>
  <c r="V145" i="7"/>
  <c r="V132" i="7"/>
  <c r="V125" i="7"/>
  <c r="V88" i="7"/>
  <c r="V81" i="7"/>
  <c r="V74" i="7"/>
  <c r="V49" i="7"/>
  <c r="V43" i="7"/>
  <c r="V42" i="7"/>
  <c r="V17" i="7"/>
  <c r="V4" i="7"/>
  <c r="V212" i="7"/>
  <c r="V211" i="7"/>
  <c r="V210" i="7"/>
  <c r="V209" i="7"/>
  <c r="V208" i="7"/>
  <c r="V207" i="7"/>
  <c r="V206" i="7"/>
  <c r="V205" i="7"/>
  <c r="V204" i="7"/>
  <c r="V203" i="7"/>
  <c r="V202" i="7"/>
  <c r="V201" i="7"/>
  <c r="V200" i="7"/>
  <c r="V196" i="7"/>
  <c r="V192" i="7"/>
  <c r="V191" i="7"/>
  <c r="V187" i="7"/>
  <c r="V186" i="7"/>
  <c r="V181" i="7"/>
  <c r="V175" i="7"/>
  <c r="V169" i="7"/>
  <c r="V162" i="7"/>
  <c r="V155" i="7"/>
  <c r="V148" i="7"/>
  <c r="V147" i="7"/>
  <c r="V140" i="7"/>
  <c r="V139" i="7"/>
  <c r="V138" i="7"/>
  <c r="V131" i="7"/>
  <c r="V130" i="7"/>
  <c r="V129" i="7"/>
  <c r="V128" i="7"/>
  <c r="V121" i="7"/>
  <c r="V114" i="7"/>
  <c r="V107" i="7"/>
  <c r="V106" i="7"/>
  <c r="V99" i="7"/>
  <c r="V92" i="7"/>
  <c r="V84" i="7"/>
  <c r="V77" i="7"/>
  <c r="V76" i="7"/>
  <c r="V69" i="7"/>
  <c r="V62" i="7"/>
  <c r="V61" i="7"/>
  <c r="V47" i="7"/>
  <c r="V39" i="7"/>
  <c r="V38" i="7"/>
  <c r="V37" i="7"/>
  <c r="V36" i="7"/>
  <c r="V35" i="7"/>
  <c r="V22" i="7"/>
  <c r="V21" i="7"/>
  <c r="V20" i="7"/>
  <c r="V104" i="7"/>
  <c r="V309" i="7"/>
  <c r="V273" i="7"/>
  <c r="V271" i="7"/>
  <c r="V264" i="7"/>
  <c r="V263" i="7"/>
  <c r="V262" i="7"/>
  <c r="V256" i="7"/>
  <c r="V255" i="7"/>
  <c r="V249" i="7"/>
  <c r="V248" i="7"/>
  <c r="V242" i="7"/>
  <c r="V241" i="7"/>
  <c r="V235" i="7"/>
  <c r="V229" i="7"/>
  <c r="V219" i="7"/>
  <c r="V180" i="7"/>
  <c r="V167" i="7"/>
  <c r="V160" i="7"/>
  <c r="V146" i="7"/>
  <c r="V133" i="7"/>
  <c r="V126" i="7"/>
  <c r="V119" i="7"/>
  <c r="V118" i="7"/>
  <c r="V105" i="7"/>
  <c r="V98" i="7"/>
  <c r="V85" i="7"/>
  <c r="V66" i="7"/>
  <c r="V60" i="7"/>
  <c r="V59" i="7"/>
  <c r="V58" i="7"/>
  <c r="V57" i="7"/>
  <c r="V32" i="7"/>
  <c r="V31" i="7"/>
  <c r="V18" i="7"/>
  <c r="V13" i="7"/>
  <c r="V316" i="7"/>
  <c r="V311" i="7"/>
  <c r="V258" i="7"/>
  <c r="V257" i="7"/>
  <c r="V251" i="7"/>
  <c r="V245" i="7"/>
  <c r="V239" i="7"/>
  <c r="V233" i="7"/>
  <c r="V227" i="7"/>
  <c r="V317" i="7"/>
  <c r="V313" i="7"/>
  <c r="V260" i="7"/>
  <c r="V254" i="7"/>
  <c r="V253" i="7"/>
  <c r="V247" i="7"/>
  <c r="V246" i="7"/>
  <c r="V240" i="7"/>
  <c r="V234" i="7"/>
  <c r="V228" i="7"/>
  <c r="V222" i="7"/>
  <c r="V214" i="7"/>
  <c r="V195" i="7"/>
  <c r="V188" i="7"/>
  <c r="V183" i="7"/>
  <c r="V177" i="7"/>
  <c r="V176" i="7"/>
  <c r="V171" i="7"/>
  <c r="V170" i="7"/>
  <c r="V163" i="7"/>
  <c r="V157" i="7"/>
  <c r="V156" i="7"/>
  <c r="V149" i="7"/>
  <c r="V136" i="7"/>
  <c r="V135" i="7"/>
  <c r="V122" i="7"/>
  <c r="V109" i="7"/>
  <c r="V102" i="7"/>
  <c r="V95" i="7"/>
  <c r="V94" i="7"/>
  <c r="V87" i="7"/>
  <c r="V80" i="7"/>
  <c r="V73" i="7"/>
  <c r="V72" i="7"/>
  <c r="V71" i="7"/>
  <c r="V46" i="7"/>
  <c r="V45" i="7"/>
  <c r="V44" i="7"/>
  <c r="V25" i="7"/>
  <c r="V24" i="7"/>
  <c r="V23" i="7"/>
  <c r="V16" i="7"/>
  <c r="V15" i="7"/>
  <c r="V14" i="7"/>
  <c r="V314" i="7"/>
  <c r="V315" i="7"/>
  <c r="V318" i="7"/>
  <c r="V310" i="7"/>
  <c r="V279" i="7"/>
  <c r="V277" i="7"/>
  <c r="V174" i="7"/>
  <c r="V168" i="7"/>
  <c r="V161" i="7"/>
  <c r="V154" i="7"/>
  <c r="V141" i="7"/>
  <c r="V134" i="7"/>
  <c r="V127" i="7"/>
  <c r="V120" i="7"/>
  <c r="V113" i="7"/>
  <c r="V112" i="7"/>
  <c r="V111" i="7"/>
  <c r="V97" i="7"/>
  <c r="V96" i="7"/>
  <c r="V83" i="7"/>
  <c r="V82" i="7"/>
  <c r="V75" i="7"/>
  <c r="V68" i="7"/>
  <c r="V67" i="7"/>
  <c r="V54" i="7"/>
  <c r="V53" i="7"/>
  <c r="V52" i="7"/>
  <c r="V51" i="7"/>
  <c r="V50" i="7"/>
  <c r="V30" i="7"/>
  <c r="V29" i="7"/>
  <c r="V28" i="7"/>
  <c r="V27" i="7"/>
  <c r="V26" i="7"/>
  <c r="V19" i="7"/>
  <c r="V12" i="7"/>
  <c r="V11" i="7"/>
  <c r="V10" i="7"/>
  <c r="V9" i="7"/>
  <c r="V8" i="7"/>
  <c r="V7" i="7"/>
  <c r="V6" i="7"/>
  <c r="V5" i="7"/>
  <c r="V308" i="7"/>
  <c r="V276" i="7"/>
  <c r="V272" i="7"/>
  <c r="V266" i="7"/>
  <c r="V265" i="7"/>
  <c r="V259" i="7"/>
  <c r="V243" i="7"/>
  <c r="V232" i="7"/>
  <c r="V231" i="7"/>
  <c r="V230" i="7"/>
  <c r="V224" i="7"/>
  <c r="V223" i="7"/>
  <c r="V218" i="7"/>
  <c r="V217" i="7"/>
  <c r="V190" i="7"/>
  <c r="V189" i="7"/>
  <c r="V185" i="7"/>
  <c r="V184" i="7"/>
  <c r="V173" i="7"/>
  <c r="V172" i="7"/>
  <c r="V164" i="7"/>
  <c r="V158" i="7"/>
  <c r="V144" i="7"/>
  <c r="V143" i="7"/>
  <c r="V142" i="7"/>
  <c r="V123" i="7"/>
  <c r="V116" i="7"/>
  <c r="V115" i="7"/>
  <c r="V108" i="7"/>
  <c r="V101" i="7"/>
  <c r="V100" i="7"/>
  <c r="V93" i="7"/>
  <c r="V86" i="7"/>
  <c r="V79" i="7"/>
  <c r="V78" i="7"/>
  <c r="V65" i="7"/>
  <c r="V64" i="7"/>
  <c r="V63" i="7"/>
  <c r="V56" i="7"/>
  <c r="V55" i="7"/>
  <c r="V48" i="7"/>
  <c r="V41" i="7"/>
  <c r="V34" i="7"/>
  <c r="V3" i="7"/>
  <c r="V2" i="7"/>
  <c r="V320" i="7"/>
  <c r="V312" i="7"/>
  <c r="V306" i="7"/>
  <c r="V304" i="7"/>
  <c r="V302" i="7"/>
  <c r="V300" i="7"/>
  <c r="V298" i="7"/>
  <c r="V296" i="7"/>
  <c r="V294" i="7"/>
  <c r="V292" i="7"/>
  <c r="V290" i="7"/>
  <c r="V288" i="7"/>
  <c r="V286" i="7"/>
  <c r="V284" i="7"/>
  <c r="V282" i="7"/>
  <c r="V280" i="7"/>
  <c r="V278" i="7"/>
  <c r="V274" i="7"/>
  <c r="V269" i="7"/>
  <c r="V267" i="7"/>
  <c r="V261" i="7"/>
  <c r="V250" i="7"/>
  <c r="V244" i="7"/>
  <c r="V238" i="7"/>
  <c r="V237" i="7"/>
  <c r="V236" i="7"/>
  <c r="V225" i="7"/>
  <c r="V220" i="7"/>
  <c r="V215" i="7"/>
  <c r="V198" i="7"/>
  <c r="V197" i="7"/>
  <c r="V182" i="7"/>
  <c r="V179" i="7"/>
  <c r="V178" i="7"/>
  <c r="V166" i="7"/>
  <c r="V165" i="7"/>
  <c r="V159" i="7"/>
  <c r="V152" i="7"/>
  <c r="V151" i="7"/>
  <c r="V150" i="7"/>
  <c r="V137" i="7"/>
  <c r="V124" i="7"/>
  <c r="V117" i="7"/>
  <c r="V110" i="7"/>
  <c r="V103" i="7"/>
  <c r="V91" i="7"/>
  <c r="V90" i="7"/>
  <c r="V89" i="7"/>
  <c r="V70" i="7"/>
  <c r="V40" i="7"/>
  <c r="V33" i="7"/>
  <c r="V319" i="7"/>
</calcChain>
</file>

<file path=xl/sharedStrings.xml><?xml version="1.0" encoding="utf-8"?>
<sst xmlns="http://schemas.openxmlformats.org/spreadsheetml/2006/main" count="5781" uniqueCount="234">
  <si>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</si>
  <si>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</si>
  <si>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</si>
  <si>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</si>
  <si>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</si>
  <si>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</si>
  <si>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</si>
  <si>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</si>
  <si>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</si>
  <si>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</si>
  <si>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</si>
  <si>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</si>
  <si>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</si>
  <si>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</si>
  <si>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</si>
  <si>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2025-01-01</t>
  </si>
  <si>
    <t>East</t>
  </si>
  <si>
    <t>Residential</t>
  </si>
  <si>
    <t>2025-02-01</t>
  </si>
  <si>
    <t>2025-03-01</t>
  </si>
  <si>
    <t>2025-04-01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</si>
  <si>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</si>
  <si>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</si>
  <si>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</si>
  <si>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</si>
  <si>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</si>
  <si>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</si>
  <si>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</si>
  <si>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</si>
  <si>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</si>
  <si>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</si>
  <si>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</si>
  <si>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</si>
  <si>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</si>
  <si>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</si>
  <si>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</si>
  <si>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</si>
  <si>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</si>
  <si>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</si>
  <si>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</si>
  <si>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</si>
  <si>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</si>
  <si>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</si>
  <si>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</si>
  <si>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</si>
  <si>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</si>
  <si>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</si>
  <si>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</si>
  <si>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</si>
  <si>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</si>
  <si>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</si>
  <si>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</si>
  <si>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</si>
  <si>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</si>
  <si>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</si>
  <si>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</si>
  <si>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</si>
  <si>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</si>
  <si>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</si>
  <si>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</si>
  <si>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</si>
  <si>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</si>
  <si>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</si>
  <si>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</si>
  <si>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</si>
  <si>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</si>
  <si>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</si>
  <si>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</si>
  <si>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</si>
  <si>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</si>
  <si>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</si>
  <si>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</si>
  <si>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</si>
  <si>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</si>
  <si>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</si>
  <si>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</si>
  <si>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</si>
  <si>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</si>
  <si>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</si>
  <si>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</si>
  <si>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</si>
  <si>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</si>
  <si>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</si>
  <si>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</si>
  <si>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</si>
  <si>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</si>
  <si>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</si>
  <si>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</si>
  <si>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</si>
  <si>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</si>
  <si>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</si>
  <si>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</si>
  <si>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</si>
  <si>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</si>
  <si>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</si>
  <si>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</si>
  <si>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</si>
  <si>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</si>
  <si>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</si>
  <si>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</si>
  <si>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</si>
  <si>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</si>
  <si>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</si>
  <si>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</si>
  <si>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</si>
  <si>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</si>
  <si>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</si>
  <si>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</si>
  <si>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</si>
  <si>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</si>
  <si>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</si>
  <si>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</si>
  <si>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</si>
  <si>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</si>
  <si>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</si>
  <si>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</si>
  <si>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</si>
  <si>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</si>
  <si>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</si>
  <si>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</si>
  <si>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</si>
  <si>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</si>
  <si>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record_id</t>
  </si>
  <si>
    <t>customer_rating_missing_flag</t>
  </si>
  <si>
    <t>competitor_distance_missing_flag</t>
  </si>
  <si>
    <t>cleaning_note</t>
  </si>
  <si>
    <t>Clean</t>
  </si>
  <si>
    <t>customer_rating imputed with median 3.90</t>
  </si>
  <si>
    <t>competitor_distance_km imputed with median 3.365</t>
  </si>
  <si>
    <t>store_type_High_Street</t>
  </si>
  <si>
    <t>store_type_Mall</t>
  </si>
  <si>
    <t>store_type_Residential</t>
  </si>
  <si>
    <t>region_North</t>
  </si>
  <si>
    <t>region_South</t>
  </si>
  <si>
    <t>region_West</t>
  </si>
  <si>
    <t>reference_categories</t>
  </si>
  <si>
    <t>store_type reference = Airport; region reference = East</t>
  </si>
  <si>
    <t>Simple Regression Outputs: monthly_sales as Dependent Variable</t>
  </si>
  <si>
    <t>Model name</t>
  </si>
  <si>
    <t>Dependent variable</t>
  </si>
  <si>
    <t>Independent variable</t>
  </si>
  <si>
    <t>Regression equation</t>
  </si>
  <si>
    <t>R-squared</t>
  </si>
  <si>
    <t>Coefficient</t>
  </si>
  <si>
    <t>P-value</t>
  </si>
  <si>
    <t>Business interpretation</t>
  </si>
  <si>
    <t>Useful?</t>
  </si>
  <si>
    <t>Simple: marketing_spend</t>
  </si>
  <si>
    <t>monthly_sales = 560,777.35 + (2.1296 × marketing_spend)</t>
  </si>
  <si>
    <t>Each additional currency unit of marketing spend is associated with about 2.13 more sales.</t>
  </si>
  <si>
    <t>Useful</t>
  </si>
  <si>
    <t>Simple: footfall</t>
  </si>
  <si>
    <t>monthly_sales = 446,410.58 + (35.6780 × footfall)</t>
  </si>
  <si>
    <t>Each additional visitor is associated with about 35.68 more sales; strongest simple model.</t>
  </si>
  <si>
    <t>Simple: avg_discount_pct</t>
  </si>
  <si>
    <t>monthly_sales = 697,835.63 + (-138,730.4547 × avg_discount_pct)</t>
  </si>
  <si>
    <t>Higher discounting has a weak negative relationship in the simple model; do not treat as a proven discount effect.</t>
  </si>
  <si>
    <t>Not useful alone</t>
  </si>
  <si>
    <t>Simple: inventory_availability_pct</t>
  </si>
  <si>
    <t>monthly_sales = 484,814.26 + (2,217.8319 × inventory_availability_pct)</t>
  </si>
  <si>
    <t>Each 1 percentage-point increase in availability is associated with about 2,218 more sales.</t>
  </si>
  <si>
    <t>Useful but low explanatory power</t>
  </si>
  <si>
    <t>Simple: customer_rating</t>
  </si>
  <si>
    <t>monthly_sales = 701,366.86 + (-5,284.8663 × customer_rating)</t>
  </si>
  <si>
    <t>Customer rating is weak in the simple model, likely because other store factors explain more of the sales variation.</t>
  </si>
  <si>
    <t>Simple: staff_count</t>
  </si>
  <si>
    <t>monthly_sales = 400,551.47 + (16,984.0288 × staff_count)</t>
  </si>
  <si>
    <t>Each additional staff member is associated with about 16,984 more sales in the simple model.</t>
  </si>
  <si>
    <t>Simple: competitor_distance_km</t>
  </si>
  <si>
    <t>monthly_sales = 692,482.82 + (-2,612.9596 × competitor_distance_km)</t>
  </si>
  <si>
    <t>Stores farther from competitors tend to have slightly higher sales, but evidence is borderline in the simple model.</t>
  </si>
  <si>
    <t>Borderline</t>
  </si>
  <si>
    <t>Simple: holiday_flag</t>
  </si>
  <si>
    <t>monthly_sales = 671,411.86 + (53,625.3354 × holiday_flag)</t>
  </si>
  <si>
    <t>Holiday periods are associated with about 53,625 higher sales in the simple model.</t>
  </si>
  <si>
    <t>Selected Simple Model Detail</t>
  </si>
  <si>
    <t>Value</t>
  </si>
  <si>
    <t>Model</t>
  </si>
  <si>
    <t>Observations</t>
  </si>
  <si>
    <t>Adjusted R-squared</t>
  </si>
  <si>
    <t>RMSE</t>
  </si>
  <si>
    <t>Coefficient table</t>
  </si>
  <si>
    <t>Term</t>
  </si>
  <si>
    <t>Standard Error</t>
  </si>
  <si>
    <t>Intercept</t>
  </si>
  <si>
    <t>Multiple Regression Output: Final Selected Model</t>
  </si>
  <si>
    <t>Metric</t>
  </si>
  <si>
    <t>Reference category - store_type</t>
  </si>
  <si>
    <t>Reference category - region</t>
  </si>
  <si>
    <t>Variable</t>
  </si>
  <si>
    <t>t-stat</t>
  </si>
  <si>
    <t>Direction</t>
  </si>
  <si>
    <t>Business meaning</t>
  </si>
  <si>
    <t>Positive</t>
  </si>
  <si>
    <t>Expected sales for Airport stores in East region when numeric predictors are zero; mainly a baseline.</t>
  </si>
  <si>
    <t>Higher marketing spend is associated with higher monthly sales, holding other variables constant.</t>
  </si>
  <si>
    <t>Higher visitor count is strongly associated with higher monthly sales.</t>
  </si>
  <si>
    <t>Negative</t>
  </si>
  <si>
    <t>Weak/uncertain discount relationship after controls; do not over-interpret.</t>
  </si>
  <si>
    <t>More staff is associated with higher sales, but may also proxy for larger/busier stores.</t>
  </si>
  <si>
    <t>Better availability is associated with higher sales; stockouts likely constrain performance.</t>
  </si>
  <si>
    <t>Stores farther from competitors have higher sales, suggesting competition pressure.</t>
  </si>
  <si>
    <t>Holiday months are associated with higher sales.</t>
  </si>
  <si>
    <t>Better customer rating is associated with higher sales after controls.</t>
  </si>
  <si>
    <t>Difference versus Airport stores, holding other variables constant.</t>
  </si>
  <si>
    <t>Difference versus East region, holding other variables constant.</t>
  </si>
  <si>
    <t>actual_monthly_sales</t>
  </si>
  <si>
    <t>predicted_sales</t>
  </si>
  <si>
    <t>residual</t>
  </si>
  <si>
    <t>Largest Positive Residuals</t>
  </si>
  <si>
    <t>actual_sales</t>
  </si>
  <si>
    <t>Largest Negative Residuals</t>
  </si>
  <si>
    <t>Model Comparison Summary</t>
  </si>
  <si>
    <t>Variables used</t>
  </si>
  <si>
    <t>Significant variables</t>
  </si>
  <si>
    <t>Business usefulness</t>
  </si>
  <si>
    <t>Limitations</t>
  </si>
  <si>
    <t>DV: monthly_sales; IV: marketing_spend</t>
  </si>
  <si>
    <t>Useful for directional insight; limited because it excludes other business drivers.</t>
  </si>
  <si>
    <t>Single-variable model; may suffer omitted-variable bias.</t>
  </si>
  <si>
    <t>DV: monthly_sales; IV: footfall</t>
  </si>
  <si>
    <t>DV: monthly_sales; IV: avg_discount_pct</t>
  </si>
  <si>
    <t>None at 5%</t>
  </si>
  <si>
    <t>DV: monthly_sales; IV: inventory_availability_pct</t>
  </si>
  <si>
    <t>DV: monthly_sales; IV: customer_rating</t>
  </si>
  <si>
    <t>DV: monthly_sales; IV: staff_count</t>
  </si>
  <si>
    <t>DV: monthly_sales; IV: competitor_distance_km</t>
  </si>
  <si>
    <t>Borderline: competitor_distance_km</t>
  </si>
  <si>
    <t>DV: monthly_sales; IV: holiday_flag</t>
  </si>
  <si>
    <t>Multiple: final selected model</t>
  </si>
  <si>
    <t>DV: monthly_sales; IVs: marketing_spend, footfall, avg_discount_pct, staff_count, inventory_availability_pct, competitor_distance_km, holiday_flag, customer_rating, store_type dummies, region dummies</t>
  </si>
  <si>
    <t>marketing_spend, footfall, staff_count, inventory_availability_pct, competitor_distance_km, holiday_flag, customer_rating, store_type_High_Street, store_type_Residential, region_South, region_West</t>
  </si>
  <si>
    <t>Best decision model because it explains the most variation and controls for store type and region.</t>
  </si>
  <si>
    <t>Association only; may exclude local events, price mix, promotions, seasonality depth, and store-level fixed effects.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</si>
</sst>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%"/>
    <numFmt numFmtId="166" formatCode="0.0"/>
    <numFmt numFmtId="167" formatCode="0.0000"/>
    <numFmt numFmtId="168" formatCode="#,##0.0000"/>
    <numFmt numFmtId="169" formatCode="0.000000"/>
    <numFmt numFmtId="170" formatCode="#,##0.000000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4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167" fontId="0" fillId="0" borderId="0" xfId="0" applyNumberFormat="1"/>
    <xf numFmtId="170" fontId="0" fillId="0" borderId="0" xfId="0" applyNumberFormat="1"/>
    <xf numFmtId="167" fontId="0" fillId="0" borderId="0" xfId="0" applyNumberFormat="1" applyAlignment="1">
      <alignment vertical="top" wrapText="1"/>
    </xf>
    <xf numFmtId="4" fontId="0" fillId="0" borderId="0" xfId="0" applyNumberFormat="1" applyAlignment="1">
      <alignment vertical="top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1" fillId="4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4" fontId="1" fillId="4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iginalDataTable" displayName="OriginalDataTable" ref="A1:N321">
  <tableColumns count="14">
    <tableColumn id="1" xr3:uid="{00000000-0010-0000-0000-000001000000}" name="store_id"/>
    <tableColumn id="2" xr3:uid="{00000000-0010-0000-0000-000002000000}" name="month"/>
    <tableColumn id="3" xr3:uid="{00000000-0010-0000-0000-000003000000}" name="region"/>
    <tableColumn id="4" xr3:uid="{00000000-0010-0000-0000-000004000000}" name="store_type"/>
    <tableColumn id="5" xr3:uid="{00000000-0010-0000-0000-000005000000}" name="marketing_spend"/>
    <tableColumn id="6" xr3:uid="{00000000-0010-0000-0000-000006000000}" name="footfall"/>
    <tableColumn id="7" xr3:uid="{00000000-0010-0000-0000-000007000000}" name="avg_discount_pct"/>
    <tableColumn id="8" xr3:uid="{00000000-0010-0000-0000-000008000000}" name="staff_count"/>
    <tableColumn id="9" xr3:uid="{00000000-0010-0000-0000-000009000000}" name="inventory_availability_pct"/>
    <tableColumn id="10" xr3:uid="{00000000-0010-0000-0000-00000A000000}" name="competitor_distance_km"/>
    <tableColumn id="11" xr3:uid="{00000000-0010-0000-0000-00000B000000}" name="holiday_flag"/>
    <tableColumn id="12" xr3:uid="{00000000-0010-0000-0000-00000C000000}" name="customer_rating"/>
    <tableColumn id="13" xr3:uid="{00000000-0010-0000-0000-00000D000000}" name="monthly_sales"/>
    <tableColumn id="14" xr3:uid="{00000000-0010-0000-0000-00000E000000}" name="monthly_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Table" displayName="DataDictionaryTable" ref="A1:B15">
  <tableColumns count="2">
    <tableColumn id="1" xr3:uid="{00000000-0010-0000-0100-000001000000}" name="Column"/>
    <tableColumn id="2" xr3:uid="{00000000-0010-0000-0100-000002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eanedPreparedTable" displayName="CleanedPreparedTable" ref="A1:R321">
  <tableColumns count="18">
    <tableColumn id="1" xr3:uid="{00000000-0010-0000-0200-000001000000}" name="record_id"/>
    <tableColumn id="2" xr3:uid="{00000000-0010-0000-0200-000002000000}" name="store_id"/>
    <tableColumn id="3" xr3:uid="{00000000-0010-0000-0200-000003000000}" name="month"/>
    <tableColumn id="4" xr3:uid="{00000000-0010-0000-0200-000004000000}" name="region"/>
    <tableColumn id="5" xr3:uid="{00000000-0010-0000-0200-000005000000}" name="store_type"/>
    <tableColumn id="6" xr3:uid="{00000000-0010-0000-0200-000006000000}" name="marketing_spend"/>
    <tableColumn id="7" xr3:uid="{00000000-0010-0000-0200-000007000000}" name="footfall"/>
    <tableColumn id="8" xr3:uid="{00000000-0010-0000-0200-000008000000}" name="avg_discount_pct"/>
    <tableColumn id="9" xr3:uid="{00000000-0010-0000-0200-000009000000}" name="staff_count"/>
    <tableColumn id="10" xr3:uid="{00000000-0010-0000-0200-00000A000000}" name="inventory_availability_pct"/>
    <tableColumn id="11" xr3:uid="{00000000-0010-0000-0200-00000B000000}" name="competitor_distance_km"/>
    <tableColumn id="12" xr3:uid="{00000000-0010-0000-0200-00000C000000}" name="holiday_flag"/>
    <tableColumn id="13" xr3:uid="{00000000-0010-0000-0200-00000D000000}" name="customer_rating"/>
    <tableColumn id="14" xr3:uid="{00000000-0010-0000-0200-00000E000000}" name="monthly_sales"/>
    <tableColumn id="15" xr3:uid="{00000000-0010-0000-0200-00000F000000}" name="monthly_profit"/>
    <tableColumn id="16" xr3:uid="{00000000-0010-0000-0200-000010000000}" name="customer_rating_missing_flag"/>
    <tableColumn id="17" xr3:uid="{00000000-0010-0000-0200-000011000000}" name="competitor_distance_missing_flag"/>
    <tableColumn id="18" xr3:uid="{00000000-0010-0000-0200-000012000000}" name="cleaning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ummyVariableTable" displayName="DummyVariableTable" ref="A1:K321">
  <tableColumns count="11">
    <tableColumn id="1" xr3:uid="{00000000-0010-0000-0300-000001000000}" name="record_id"/>
    <tableColumn id="2" xr3:uid="{00000000-0010-0000-0300-000002000000}" name="store_id"/>
    <tableColumn id="3" xr3:uid="{00000000-0010-0000-0300-000003000000}" name="region"/>
    <tableColumn id="4" xr3:uid="{00000000-0010-0000-0300-000004000000}" name="store_type"/>
    <tableColumn id="5" xr3:uid="{00000000-0010-0000-0300-000005000000}" name="store_type_High_Street"/>
    <tableColumn id="6" xr3:uid="{00000000-0010-0000-0300-000006000000}" name="store_type_Mall"/>
    <tableColumn id="7" xr3:uid="{00000000-0010-0000-0300-000007000000}" name="store_type_Residential"/>
    <tableColumn id="8" xr3:uid="{00000000-0010-0000-0300-000008000000}" name="region_North"/>
    <tableColumn id="9" xr3:uid="{00000000-0010-0000-0300-000009000000}" name="region_South"/>
    <tableColumn id="10" xr3:uid="{00000000-0010-0000-0300-00000A000000}" name="region_West"/>
    <tableColumn id="11" xr3:uid="{00000000-0010-0000-0300-00000B000000}" name="reference_categori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impleRegressionTable" displayName="SimpleRegressionTable" ref="A3:I11">
  <tableColumns count="9">
    <tableColumn id="1" xr3:uid="{00000000-0010-0000-0400-000001000000}" name="Model name"/>
    <tableColumn id="2" xr3:uid="{00000000-0010-0000-0400-000002000000}" name="Dependent variable"/>
    <tableColumn id="3" xr3:uid="{00000000-0010-0000-0400-000003000000}" name="Independent variable"/>
    <tableColumn id="4" xr3:uid="{00000000-0010-0000-0400-000004000000}" name="Regression equation"/>
    <tableColumn id="5" xr3:uid="{00000000-0010-0000-0400-000005000000}" name="R-squared"/>
    <tableColumn id="6" xr3:uid="{00000000-0010-0000-0400-000006000000}" name="Coefficient"/>
    <tableColumn id="7" xr3:uid="{00000000-0010-0000-0400-000007000000}" name="P-value"/>
    <tableColumn id="8" xr3:uid="{00000000-0010-0000-0400-000008000000}" name="Business interpretation"/>
    <tableColumn id="9" xr3:uid="{00000000-0010-0000-0400-000009000000}" name="Useful?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ultipleStatsTable" displayName="MultipleStatsTable" ref="A3:B10">
  <tableColumns count="2">
    <tableColumn id="1" xr3:uid="{00000000-0010-0000-0500-000001000000}" name="Metric"/>
    <tableColumn id="2" xr3:uid="{00000000-0010-0000-0500-00000200000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ultipleCoefficientTable" displayName="MultipleCoefficientTable" ref="A13:G28">
  <tableColumns count="7">
    <tableColumn id="1" xr3:uid="{00000000-0010-0000-0600-000001000000}" name="Variable"/>
    <tableColumn id="2" xr3:uid="{00000000-0010-0000-0600-000002000000}" name="Coefficient"/>
    <tableColumn id="3" xr3:uid="{00000000-0010-0000-0600-000003000000}" name="Standard Error"/>
    <tableColumn id="4" xr3:uid="{00000000-0010-0000-0600-000004000000}" name="t-stat"/>
    <tableColumn id="5" xr3:uid="{00000000-0010-0000-0600-000005000000}" name="P-value"/>
    <tableColumn id="6" xr3:uid="{00000000-0010-0000-0600-000006000000}" name="Direction"/>
    <tableColumn id="7" xr3:uid="{00000000-0010-0000-0600-000007000000}" name="Business meani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edictionResidualTable" displayName="PredictionResidualTable" ref="A1:V321">
  <tableColumns count="22">
    <tableColumn id="1" xr3:uid="{00000000-0010-0000-0700-000001000000}" name="record_id"/>
    <tableColumn id="2" xr3:uid="{00000000-0010-0000-0700-000002000000}" name="store_id"/>
    <tableColumn id="3" xr3:uid="{00000000-0010-0000-0700-000003000000}" name="month"/>
    <tableColumn id="4" xr3:uid="{00000000-0010-0000-0700-000004000000}" name="region"/>
    <tableColumn id="5" xr3:uid="{00000000-0010-0000-0700-000005000000}" name="store_type"/>
    <tableColumn id="6" xr3:uid="{00000000-0010-0000-0700-000006000000}" name="actual_monthly_sales"/>
    <tableColumn id="7" xr3:uid="{00000000-0010-0000-0700-000007000000}" name="marketing_spend"/>
    <tableColumn id="8" xr3:uid="{00000000-0010-0000-0700-000008000000}" name="footfall"/>
    <tableColumn id="9" xr3:uid="{00000000-0010-0000-0700-000009000000}" name="avg_discount_pct"/>
    <tableColumn id="10" xr3:uid="{00000000-0010-0000-0700-00000A000000}" name="staff_count"/>
    <tableColumn id="11" xr3:uid="{00000000-0010-0000-0700-00000B000000}" name="inventory_availability_pct"/>
    <tableColumn id="12" xr3:uid="{00000000-0010-0000-0700-00000C000000}" name="competitor_distance_km"/>
    <tableColumn id="13" xr3:uid="{00000000-0010-0000-0700-00000D000000}" name="holiday_flag"/>
    <tableColumn id="14" xr3:uid="{00000000-0010-0000-0700-00000E000000}" name="customer_rating"/>
    <tableColumn id="15" xr3:uid="{00000000-0010-0000-0700-00000F000000}" name="store_type_High_Street"/>
    <tableColumn id="16" xr3:uid="{00000000-0010-0000-0700-000010000000}" name="store_type_Mall"/>
    <tableColumn id="17" xr3:uid="{00000000-0010-0000-0700-000011000000}" name="store_type_Residential"/>
    <tableColumn id="18" xr3:uid="{00000000-0010-0000-0700-000012000000}" name="region_North"/>
    <tableColumn id="19" xr3:uid="{00000000-0010-0000-0700-000013000000}" name="region_South"/>
    <tableColumn id="20" xr3:uid="{00000000-0010-0000-0700-000014000000}" name="region_West"/>
    <tableColumn id="21" xr3:uid="{00000000-0010-0000-0700-000015000000}" name="predicted_sales"/>
    <tableColumn id="22" xr3:uid="{00000000-0010-0000-0700-000016000000}" name="residu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odelComparisonTable" displayName="ModelComparisonTable" ref="A3:F12">
  <tableColumns count="6">
    <tableColumn id="1" xr3:uid="{00000000-0010-0000-0800-000001000000}" name="Model name"/>
    <tableColumn id="2" xr3:uid="{00000000-0010-0000-0800-000002000000}" name="Variables used"/>
    <tableColumn id="3" xr3:uid="{00000000-0010-0000-0800-000003000000}" name="R-squared"/>
    <tableColumn id="4" xr3:uid="{00000000-0010-0000-0800-000004000000}" name="Significant variables"/>
    <tableColumn id="5" xr3:uid="{00000000-0010-0000-0800-000005000000}" name="Business usefulness"/>
    <tableColumn id="6" xr3:uid="{00000000-0010-0000-0800-000006000000}" name="Limit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>
      <selection activeCell="D7" sqref="D7"/>
    </sheetView>
  </sheetViews>
  <sheetFormatPr defaultRowHeight="14.25"/>
  <cols>
    <col min="1" max="1" width="9.25" bestFit="1" customWidth="1"/>
    <col min="2" max="2" width="10.125" bestFit="1" customWidth="1"/>
    <col min="3" max="3" width="6.625" bestFit="1" customWidth="1"/>
    <col min="4" max="4" width="10.25" bestFit="1" customWidth="1"/>
    <col min="5" max="5" width="16.25" bestFit="1" customWidth="1"/>
    <col min="6" max="6" width="7" bestFit="1" customWidth="1"/>
    <col min="7" max="7" width="16.625" bestFit="1" customWidth="1"/>
    <col min="8" max="8" width="10.75" bestFit="1" customWidth="1"/>
    <col min="9" max="9" width="23.625" bestFit="1" customWidth="1"/>
    <col min="10" max="10" width="22.75" bestFit="1" customWidth="1"/>
    <col min="11" max="11" width="11.375" bestFit="1" customWidth="1"/>
    <col min="12" max="12" width="15.375" bestFit="1" customWidth="1"/>
    <col min="13" max="13" width="13.5" bestFit="1" customWidth="1"/>
    <col min="14" max="14" width="13.625" bestFit="1" customWidth="1"/>
  </cols>
  <sheetData>
    <row r="1" spans="1:14" ht="15" customHeight="1">
      <c r="A1" s="1" t="s">
        <v>0</v>
      </c>
      <c r="B1" s="11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</row>
    <row r="2" spans="1:14" ht="15" customHeight="1">
      <c r="A2" s="2" t="s">
        <v>14</v>
      </c>
      <c r="B2" s="2" t="s">
        <v>15</v>
      </c>
      <c r="C2" s="2" t="s">
        <v>16</v>
      </c>
      <c r="D2" s="2" t="s">
        <v>17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 ht="15" customHeight="1">
      <c r="A3" s="2" t="s">
        <v>14</v>
      </c>
      <c r="B3" s="2" t="s">
        <v>18</v>
      </c>
      <c r="C3" s="2" t="s">
        <v>16</v>
      </c>
      <c r="D3" s="2" t="s">
        <v>17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 ht="15" customHeight="1">
      <c r="A4" s="2" t="s">
        <v>14</v>
      </c>
      <c r="B4" s="2" t="s">
        <v>19</v>
      </c>
      <c r="C4" s="2" t="s">
        <v>16</v>
      </c>
      <c r="D4" s="2" t="s">
        <v>17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 ht="15" customHeight="1">
      <c r="A5" s="2" t="s">
        <v>14</v>
      </c>
      <c r="B5" s="2" t="s">
        <v>20</v>
      </c>
      <c r="C5" s="2" t="s">
        <v>16</v>
      </c>
      <c r="D5" s="2" t="s">
        <v>17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 ht="15" customHeight="1">
      <c r="A6" s="2" t="s">
        <v>21</v>
      </c>
      <c r="B6" s="2" t="s">
        <v>15</v>
      </c>
      <c r="C6" s="2" t="s">
        <v>16</v>
      </c>
      <c r="D6" s="2" t="s">
        <v>22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 ht="15" customHeight="1">
      <c r="A7" s="2" t="s">
        <v>21</v>
      </c>
      <c r="B7" s="2" t="s">
        <v>18</v>
      </c>
      <c r="C7" s="2" t="s">
        <v>16</v>
      </c>
      <c r="D7" s="2" t="s">
        <v>22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 ht="15" customHeight="1">
      <c r="A8" s="2" t="s">
        <v>21</v>
      </c>
      <c r="B8" s="2" t="s">
        <v>19</v>
      </c>
      <c r="C8" s="2" t="s">
        <v>16</v>
      </c>
      <c r="D8" s="2" t="s">
        <v>22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 ht="15" customHeight="1">
      <c r="A9" s="2" t="s">
        <v>21</v>
      </c>
      <c r="B9" s="2" t="s">
        <v>20</v>
      </c>
      <c r="C9" s="2" t="s">
        <v>16</v>
      </c>
      <c r="D9" s="2" t="s">
        <v>22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 ht="15" customHeight="1">
      <c r="A10" s="2" t="s">
        <v>23</v>
      </c>
      <c r="B10" s="2" t="s">
        <v>15</v>
      </c>
      <c r="C10" s="2" t="s">
        <v>24</v>
      </c>
      <c r="D10" s="2" t="s">
        <v>25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 ht="15" customHeight="1">
      <c r="A11" s="2" t="s">
        <v>23</v>
      </c>
      <c r="B11" s="2" t="s">
        <v>18</v>
      </c>
      <c r="C11" s="2" t="s">
        <v>24</v>
      </c>
      <c r="D11" s="2" t="s">
        <v>25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 ht="15" customHeight="1">
      <c r="A12" s="2" t="s">
        <v>23</v>
      </c>
      <c r="B12" s="2" t="s">
        <v>19</v>
      </c>
      <c r="C12" s="2" t="s">
        <v>24</v>
      </c>
      <c r="D12" s="2" t="s">
        <v>25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 ht="15" customHeight="1">
      <c r="A13" s="2" t="s">
        <v>23</v>
      </c>
      <c r="B13" s="2" t="s">
        <v>20</v>
      </c>
      <c r="C13" s="2" t="s">
        <v>24</v>
      </c>
      <c r="D13" s="2" t="s">
        <v>25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 ht="15" customHeight="1">
      <c r="A14" s="2" t="s">
        <v>26</v>
      </c>
      <c r="B14" s="2" t="s">
        <v>15</v>
      </c>
      <c r="C14" s="2" t="s">
        <v>16</v>
      </c>
      <c r="D14" s="2" t="s">
        <v>17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 ht="15" customHeight="1">
      <c r="A15" s="2" t="s">
        <v>26</v>
      </c>
      <c r="B15" s="2" t="s">
        <v>18</v>
      </c>
      <c r="C15" s="2" t="s">
        <v>16</v>
      </c>
      <c r="D15" s="2" t="s">
        <v>17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 ht="15" customHeight="1">
      <c r="A16" s="2" t="s">
        <v>26</v>
      </c>
      <c r="B16" s="2" t="s">
        <v>19</v>
      </c>
      <c r="C16" s="2" t="s">
        <v>16</v>
      </c>
      <c r="D16" s="2" t="s">
        <v>17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 ht="15" customHeight="1">
      <c r="A17" s="2" t="s">
        <v>26</v>
      </c>
      <c r="B17" s="2" t="s">
        <v>20</v>
      </c>
      <c r="C17" s="2" t="s">
        <v>16</v>
      </c>
      <c r="D17" s="2" t="s">
        <v>17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 ht="15" customHeight="1">
      <c r="A18" s="2" t="s">
        <v>27</v>
      </c>
      <c r="B18" s="2" t="s">
        <v>15</v>
      </c>
      <c r="C18" s="2" t="s">
        <v>28</v>
      </c>
      <c r="D18" s="2" t="s">
        <v>17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 ht="15" customHeight="1">
      <c r="A19" s="2" t="s">
        <v>27</v>
      </c>
      <c r="B19" s="2" t="s">
        <v>18</v>
      </c>
      <c r="C19" s="2" t="s">
        <v>28</v>
      </c>
      <c r="D19" s="2" t="s">
        <v>17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 ht="15" customHeight="1">
      <c r="A20" s="2" t="s">
        <v>27</v>
      </c>
      <c r="B20" s="2" t="s">
        <v>19</v>
      </c>
      <c r="C20" s="2" t="s">
        <v>28</v>
      </c>
      <c r="D20" s="2" t="s">
        <v>17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 ht="15" customHeight="1">
      <c r="A21" s="2" t="s">
        <v>27</v>
      </c>
      <c r="B21" s="2" t="s">
        <v>20</v>
      </c>
      <c r="C21" s="2" t="s">
        <v>28</v>
      </c>
      <c r="D21" s="2" t="s">
        <v>17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 ht="15" customHeight="1">
      <c r="A22" s="2" t="s">
        <v>29</v>
      </c>
      <c r="B22" s="2" t="s">
        <v>15</v>
      </c>
      <c r="C22" s="2" t="s">
        <v>24</v>
      </c>
      <c r="D22" s="2" t="s">
        <v>17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 ht="15" customHeight="1">
      <c r="A23" s="2" t="s">
        <v>29</v>
      </c>
      <c r="B23" s="2" t="s">
        <v>18</v>
      </c>
      <c r="C23" s="2" t="s">
        <v>24</v>
      </c>
      <c r="D23" s="2" t="s">
        <v>17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 ht="15" customHeight="1">
      <c r="A24" s="2" t="s">
        <v>29</v>
      </c>
      <c r="B24" s="2" t="s">
        <v>19</v>
      </c>
      <c r="C24" s="2" t="s">
        <v>24</v>
      </c>
      <c r="D24" s="2" t="s">
        <v>17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 ht="15" customHeight="1">
      <c r="A25" s="2" t="s">
        <v>29</v>
      </c>
      <c r="B25" s="2" t="s">
        <v>20</v>
      </c>
      <c r="C25" s="2" t="s">
        <v>24</v>
      </c>
      <c r="D25" s="2" t="s">
        <v>17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 ht="15" customHeight="1">
      <c r="A26" s="2" t="s">
        <v>30</v>
      </c>
      <c r="B26" s="2" t="s">
        <v>15</v>
      </c>
      <c r="C26" s="2" t="s">
        <v>31</v>
      </c>
      <c r="D26" s="2" t="s">
        <v>32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 ht="15" customHeight="1">
      <c r="A27" s="2" t="s">
        <v>30</v>
      </c>
      <c r="B27" s="2" t="s">
        <v>18</v>
      </c>
      <c r="C27" s="2" t="s">
        <v>31</v>
      </c>
      <c r="D27" s="2" t="s">
        <v>32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 ht="15" customHeight="1">
      <c r="A28" s="2" t="s">
        <v>30</v>
      </c>
      <c r="B28" s="2" t="s">
        <v>19</v>
      </c>
      <c r="C28" s="2" t="s">
        <v>31</v>
      </c>
      <c r="D28" s="2" t="s">
        <v>32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 ht="15" customHeight="1">
      <c r="A29" s="2" t="s">
        <v>30</v>
      </c>
      <c r="B29" s="2" t="s">
        <v>20</v>
      </c>
      <c r="C29" s="2" t="s">
        <v>31</v>
      </c>
      <c r="D29" s="2" t="s">
        <v>32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 ht="15" customHeight="1">
      <c r="A30" s="2" t="s">
        <v>33</v>
      </c>
      <c r="B30" s="2" t="s">
        <v>15</v>
      </c>
      <c r="C30" s="2" t="s">
        <v>16</v>
      </c>
      <c r="D30" s="2" t="s">
        <v>17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 ht="15" customHeight="1">
      <c r="A31" s="2" t="s">
        <v>33</v>
      </c>
      <c r="B31" s="2" t="s">
        <v>18</v>
      </c>
      <c r="C31" s="2" t="s">
        <v>16</v>
      </c>
      <c r="D31" s="2" t="s">
        <v>17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 ht="15" customHeight="1">
      <c r="A32" s="2" t="s">
        <v>33</v>
      </c>
      <c r="B32" s="2" t="s">
        <v>19</v>
      </c>
      <c r="C32" s="2" t="s">
        <v>16</v>
      </c>
      <c r="D32" s="2" t="s">
        <v>17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 ht="15" customHeight="1">
      <c r="A33" s="2" t="s">
        <v>33</v>
      </c>
      <c r="B33" s="2" t="s">
        <v>20</v>
      </c>
      <c r="C33" s="2" t="s">
        <v>16</v>
      </c>
      <c r="D33" s="2" t="s">
        <v>17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 ht="15" customHeight="1">
      <c r="A34" s="2" t="s">
        <v>34</v>
      </c>
      <c r="B34" s="2" t="s">
        <v>15</v>
      </c>
      <c r="C34" s="2" t="s">
        <v>24</v>
      </c>
      <c r="D34" s="2" t="s">
        <v>17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 ht="15" customHeight="1">
      <c r="A35" s="2" t="s">
        <v>34</v>
      </c>
      <c r="B35" s="2" t="s">
        <v>18</v>
      </c>
      <c r="C35" s="2" t="s">
        <v>24</v>
      </c>
      <c r="D35" s="2" t="s">
        <v>17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</row>
    <row r="36" spans="1:14" ht="15" customHeight="1">
      <c r="A36" s="2" t="s">
        <v>34</v>
      </c>
      <c r="B36" s="2" t="s">
        <v>19</v>
      </c>
      <c r="C36" s="2" t="s">
        <v>24</v>
      </c>
      <c r="D36" s="2" t="s">
        <v>17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 ht="15" customHeight="1">
      <c r="A37" s="2" t="s">
        <v>34</v>
      </c>
      <c r="B37" s="2" t="s">
        <v>20</v>
      </c>
      <c r="C37" s="2" t="s">
        <v>24</v>
      </c>
      <c r="D37" s="2" t="s">
        <v>17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 ht="15" customHeight="1">
      <c r="A38" s="2" t="s">
        <v>35</v>
      </c>
      <c r="B38" s="2" t="s">
        <v>15</v>
      </c>
      <c r="C38" s="2" t="s">
        <v>24</v>
      </c>
      <c r="D38" s="2" t="s">
        <v>32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 ht="15" customHeight="1">
      <c r="A39" s="2" t="s">
        <v>35</v>
      </c>
      <c r="B39" s="2" t="s">
        <v>18</v>
      </c>
      <c r="C39" s="2" t="s">
        <v>24</v>
      </c>
      <c r="D39" s="2" t="s">
        <v>32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 ht="15" customHeight="1">
      <c r="A40" s="2" t="s">
        <v>35</v>
      </c>
      <c r="B40" s="2" t="s">
        <v>19</v>
      </c>
      <c r="C40" s="2" t="s">
        <v>24</v>
      </c>
      <c r="D40" s="2" t="s">
        <v>32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 ht="15" customHeight="1">
      <c r="A41" s="2" t="s">
        <v>35</v>
      </c>
      <c r="B41" s="2" t="s">
        <v>20</v>
      </c>
      <c r="C41" s="2" t="s">
        <v>24</v>
      </c>
      <c r="D41" s="2" t="s">
        <v>32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 ht="15" customHeight="1">
      <c r="A42" s="2" t="s">
        <v>36</v>
      </c>
      <c r="B42" s="2" t="s">
        <v>15</v>
      </c>
      <c r="C42" s="2" t="s">
        <v>16</v>
      </c>
      <c r="D42" s="2" t="s">
        <v>32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 ht="15" customHeight="1">
      <c r="A43" s="2" t="s">
        <v>36</v>
      </c>
      <c r="B43" s="2" t="s">
        <v>18</v>
      </c>
      <c r="C43" s="2" t="s">
        <v>16</v>
      </c>
      <c r="D43" s="2" t="s">
        <v>32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 ht="15" customHeight="1">
      <c r="A44" s="2" t="s">
        <v>36</v>
      </c>
      <c r="B44" s="2" t="s">
        <v>19</v>
      </c>
      <c r="C44" s="2" t="s">
        <v>16</v>
      </c>
      <c r="D44" s="2" t="s">
        <v>32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 ht="15" customHeight="1">
      <c r="A45" s="2" t="s">
        <v>36</v>
      </c>
      <c r="B45" s="2" t="s">
        <v>20</v>
      </c>
      <c r="C45" s="2" t="s">
        <v>16</v>
      </c>
      <c r="D45" s="2" t="s">
        <v>32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 ht="15" customHeight="1">
      <c r="A46" s="2" t="s">
        <v>37</v>
      </c>
      <c r="B46" s="2" t="s">
        <v>15</v>
      </c>
      <c r="C46" s="2" t="s">
        <v>31</v>
      </c>
      <c r="D46" s="2" t="s">
        <v>17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 ht="15" customHeight="1">
      <c r="A47" s="2" t="s">
        <v>37</v>
      </c>
      <c r="B47" s="2" t="s">
        <v>18</v>
      </c>
      <c r="C47" s="2" t="s">
        <v>31</v>
      </c>
      <c r="D47" s="2" t="s">
        <v>17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 ht="15" customHeight="1">
      <c r="A48" s="2" t="s">
        <v>37</v>
      </c>
      <c r="B48" s="2" t="s">
        <v>19</v>
      </c>
      <c r="C48" s="2" t="s">
        <v>31</v>
      </c>
      <c r="D48" s="2" t="s">
        <v>17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 ht="15" customHeight="1">
      <c r="A49" s="2" t="s">
        <v>37</v>
      </c>
      <c r="B49" s="2" t="s">
        <v>20</v>
      </c>
      <c r="C49" s="2" t="s">
        <v>31</v>
      </c>
      <c r="D49" s="2" t="s">
        <v>17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 ht="15" customHeight="1">
      <c r="A50" s="2" t="s">
        <v>38</v>
      </c>
      <c r="B50" s="2" t="s">
        <v>15</v>
      </c>
      <c r="C50" s="2" t="s">
        <v>24</v>
      </c>
      <c r="D50" s="2" t="s">
        <v>32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 ht="15" customHeight="1">
      <c r="A51" s="2" t="s">
        <v>38</v>
      </c>
      <c r="B51" s="2" t="s">
        <v>18</v>
      </c>
      <c r="C51" s="2" t="s">
        <v>24</v>
      </c>
      <c r="D51" s="2" t="s">
        <v>32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 ht="15" customHeight="1">
      <c r="A52" s="2" t="s">
        <v>38</v>
      </c>
      <c r="B52" s="2" t="s">
        <v>19</v>
      </c>
      <c r="C52" s="2" t="s">
        <v>24</v>
      </c>
      <c r="D52" s="2" t="s">
        <v>32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 ht="15" customHeight="1">
      <c r="A53" s="2" t="s">
        <v>38</v>
      </c>
      <c r="B53" s="2" t="s">
        <v>20</v>
      </c>
      <c r="C53" s="2" t="s">
        <v>24</v>
      </c>
      <c r="D53" s="2" t="s">
        <v>32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 ht="15" customHeight="1">
      <c r="A54" s="2" t="s">
        <v>39</v>
      </c>
      <c r="B54" s="2" t="s">
        <v>15</v>
      </c>
      <c r="C54" s="2" t="s">
        <v>31</v>
      </c>
      <c r="D54" s="2" t="s">
        <v>22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 ht="15" customHeight="1">
      <c r="A55" s="2" t="s">
        <v>39</v>
      </c>
      <c r="B55" s="2" t="s">
        <v>18</v>
      </c>
      <c r="C55" s="2" t="s">
        <v>31</v>
      </c>
      <c r="D55" s="2" t="s">
        <v>22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 ht="15" customHeight="1">
      <c r="A56" s="2" t="s">
        <v>39</v>
      </c>
      <c r="B56" s="2" t="s">
        <v>19</v>
      </c>
      <c r="C56" s="2" t="s">
        <v>31</v>
      </c>
      <c r="D56" s="2" t="s">
        <v>22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 ht="15" customHeight="1">
      <c r="A57" s="2" t="s">
        <v>39</v>
      </c>
      <c r="B57" s="2" t="s">
        <v>20</v>
      </c>
      <c r="C57" s="2" t="s">
        <v>31</v>
      </c>
      <c r="D57" s="2" t="s">
        <v>22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 ht="15" customHeight="1">
      <c r="A58" s="2" t="s">
        <v>40</v>
      </c>
      <c r="B58" s="2" t="s">
        <v>15</v>
      </c>
      <c r="C58" s="2" t="s">
        <v>16</v>
      </c>
      <c r="D58" s="2" t="s">
        <v>25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 ht="15" customHeight="1">
      <c r="A59" s="2" t="s">
        <v>40</v>
      </c>
      <c r="B59" s="2" t="s">
        <v>18</v>
      </c>
      <c r="C59" s="2" t="s">
        <v>16</v>
      </c>
      <c r="D59" s="2" t="s">
        <v>25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 ht="15" customHeight="1">
      <c r="A60" s="2" t="s">
        <v>40</v>
      </c>
      <c r="B60" s="2" t="s">
        <v>19</v>
      </c>
      <c r="C60" s="2" t="s">
        <v>16</v>
      </c>
      <c r="D60" s="2" t="s">
        <v>25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 ht="15" customHeight="1">
      <c r="A61" s="2" t="s">
        <v>40</v>
      </c>
      <c r="B61" s="2" t="s">
        <v>20</v>
      </c>
      <c r="C61" s="2" t="s">
        <v>16</v>
      </c>
      <c r="D61" s="2" t="s">
        <v>25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 ht="15" customHeight="1">
      <c r="A62" s="2" t="s">
        <v>41</v>
      </c>
      <c r="B62" s="2" t="s">
        <v>15</v>
      </c>
      <c r="C62" s="2" t="s">
        <v>28</v>
      </c>
      <c r="D62" s="2" t="s">
        <v>22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 ht="15" customHeight="1">
      <c r="A63" s="2" t="s">
        <v>41</v>
      </c>
      <c r="B63" s="2" t="s">
        <v>18</v>
      </c>
      <c r="C63" s="2" t="s">
        <v>28</v>
      </c>
      <c r="D63" s="2" t="s">
        <v>22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 ht="15" customHeight="1">
      <c r="A64" s="2" t="s">
        <v>41</v>
      </c>
      <c r="B64" s="2" t="s">
        <v>19</v>
      </c>
      <c r="C64" s="2" t="s">
        <v>28</v>
      </c>
      <c r="D64" s="2" t="s">
        <v>22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 ht="15" customHeight="1">
      <c r="A65" s="2" t="s">
        <v>41</v>
      </c>
      <c r="B65" s="2" t="s">
        <v>20</v>
      </c>
      <c r="C65" s="2" t="s">
        <v>28</v>
      </c>
      <c r="D65" s="2" t="s">
        <v>22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 ht="15" customHeight="1">
      <c r="A66" s="2" t="s">
        <v>42</v>
      </c>
      <c r="B66" s="2" t="s">
        <v>15</v>
      </c>
      <c r="C66" s="2" t="s">
        <v>31</v>
      </c>
      <c r="D66" s="2" t="s">
        <v>22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 ht="15" customHeight="1">
      <c r="A67" s="2" t="s">
        <v>42</v>
      </c>
      <c r="B67" s="2" t="s">
        <v>18</v>
      </c>
      <c r="C67" s="2" t="s">
        <v>31</v>
      </c>
      <c r="D67" s="2" t="s">
        <v>22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 ht="15" customHeight="1">
      <c r="A68" s="2" t="s">
        <v>42</v>
      </c>
      <c r="B68" s="2" t="s">
        <v>19</v>
      </c>
      <c r="C68" s="2" t="s">
        <v>31</v>
      </c>
      <c r="D68" s="2" t="s">
        <v>22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 ht="15" customHeight="1">
      <c r="A69" s="2" t="s">
        <v>42</v>
      </c>
      <c r="B69" s="2" t="s">
        <v>20</v>
      </c>
      <c r="C69" s="2" t="s">
        <v>31</v>
      </c>
      <c r="D69" s="2" t="s">
        <v>22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 ht="15" customHeight="1">
      <c r="A70" s="2" t="s">
        <v>43</v>
      </c>
      <c r="B70" s="2" t="s">
        <v>15</v>
      </c>
      <c r="C70" s="2" t="s">
        <v>16</v>
      </c>
      <c r="D70" s="2" t="s">
        <v>22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 ht="15" customHeight="1">
      <c r="A71" s="2" t="s">
        <v>43</v>
      </c>
      <c r="B71" s="2" t="s">
        <v>18</v>
      </c>
      <c r="C71" s="2" t="s">
        <v>16</v>
      </c>
      <c r="D71" s="2" t="s">
        <v>22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 ht="15" customHeight="1">
      <c r="A72" s="2" t="s">
        <v>43</v>
      </c>
      <c r="B72" s="2" t="s">
        <v>19</v>
      </c>
      <c r="C72" s="2" t="s">
        <v>16</v>
      </c>
      <c r="D72" s="2" t="s">
        <v>22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 ht="15" customHeight="1">
      <c r="A73" s="2" t="s">
        <v>43</v>
      </c>
      <c r="B73" s="2" t="s">
        <v>20</v>
      </c>
      <c r="C73" s="2" t="s">
        <v>16</v>
      </c>
      <c r="D73" s="2" t="s">
        <v>22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</row>
    <row r="74" spans="1:14" ht="15" customHeight="1">
      <c r="A74" s="2" t="s">
        <v>44</v>
      </c>
      <c r="B74" s="2" t="s">
        <v>15</v>
      </c>
      <c r="C74" s="2" t="s">
        <v>16</v>
      </c>
      <c r="D74" s="2" t="s">
        <v>17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 ht="15" customHeight="1">
      <c r="A75" s="2" t="s">
        <v>44</v>
      </c>
      <c r="B75" s="2" t="s">
        <v>18</v>
      </c>
      <c r="C75" s="2" t="s">
        <v>16</v>
      </c>
      <c r="D75" s="2" t="s">
        <v>17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 ht="15" customHeight="1">
      <c r="A76" s="2" t="s">
        <v>44</v>
      </c>
      <c r="B76" s="2" t="s">
        <v>19</v>
      </c>
      <c r="C76" s="2" t="s">
        <v>16</v>
      </c>
      <c r="D76" s="2" t="s">
        <v>17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 ht="15" customHeight="1">
      <c r="A77" s="2" t="s">
        <v>44</v>
      </c>
      <c r="B77" s="2" t="s">
        <v>20</v>
      </c>
      <c r="C77" s="2" t="s">
        <v>16</v>
      </c>
      <c r="D77" s="2" t="s">
        <v>17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 ht="15" customHeight="1">
      <c r="A78" s="2" t="s">
        <v>45</v>
      </c>
      <c r="B78" s="2" t="s">
        <v>15</v>
      </c>
      <c r="C78" s="2" t="s">
        <v>28</v>
      </c>
      <c r="D78" s="2" t="s">
        <v>22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 ht="15" customHeight="1">
      <c r="A79" s="2" t="s">
        <v>45</v>
      </c>
      <c r="B79" s="2" t="s">
        <v>18</v>
      </c>
      <c r="C79" s="2" t="s">
        <v>28</v>
      </c>
      <c r="D79" s="2" t="s">
        <v>22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 ht="15" customHeight="1">
      <c r="A80" s="2" t="s">
        <v>45</v>
      </c>
      <c r="B80" s="2" t="s">
        <v>19</v>
      </c>
      <c r="C80" s="2" t="s">
        <v>28</v>
      </c>
      <c r="D80" s="2" t="s">
        <v>22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 ht="15" customHeight="1">
      <c r="A81" s="2" t="s">
        <v>45</v>
      </c>
      <c r="B81" s="2" t="s">
        <v>20</v>
      </c>
      <c r="C81" s="2" t="s">
        <v>28</v>
      </c>
      <c r="D81" s="2" t="s">
        <v>22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 ht="15" customHeight="1">
      <c r="A82" s="2" t="s">
        <v>46</v>
      </c>
      <c r="B82" s="2" t="s">
        <v>15</v>
      </c>
      <c r="C82" s="2" t="s">
        <v>31</v>
      </c>
      <c r="D82" s="2" t="s">
        <v>32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 ht="15" customHeight="1">
      <c r="A83" s="2" t="s">
        <v>46</v>
      </c>
      <c r="B83" s="2" t="s">
        <v>18</v>
      </c>
      <c r="C83" s="2" t="s">
        <v>31</v>
      </c>
      <c r="D83" s="2" t="s">
        <v>32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 ht="15" customHeight="1">
      <c r="A84" s="2" t="s">
        <v>46</v>
      </c>
      <c r="B84" s="2" t="s">
        <v>19</v>
      </c>
      <c r="C84" s="2" t="s">
        <v>31</v>
      </c>
      <c r="D84" s="2" t="s">
        <v>32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 ht="15" customHeight="1">
      <c r="A85" s="2" t="s">
        <v>46</v>
      </c>
      <c r="B85" s="2" t="s">
        <v>20</v>
      </c>
      <c r="C85" s="2" t="s">
        <v>31</v>
      </c>
      <c r="D85" s="2" t="s">
        <v>32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 ht="15" customHeight="1">
      <c r="A86" s="2" t="s">
        <v>47</v>
      </c>
      <c r="B86" s="2" t="s">
        <v>15</v>
      </c>
      <c r="C86" s="2" t="s">
        <v>31</v>
      </c>
      <c r="D86" s="2" t="s">
        <v>22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 ht="15" customHeight="1">
      <c r="A87" s="2" t="s">
        <v>47</v>
      </c>
      <c r="B87" s="2" t="s">
        <v>18</v>
      </c>
      <c r="C87" s="2" t="s">
        <v>31</v>
      </c>
      <c r="D87" s="2" t="s">
        <v>22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</row>
    <row r="88" spans="1:14" ht="15" customHeight="1">
      <c r="A88" s="2" t="s">
        <v>47</v>
      </c>
      <c r="B88" s="2" t="s">
        <v>19</v>
      </c>
      <c r="C88" s="2" t="s">
        <v>31</v>
      </c>
      <c r="D88" s="2" t="s">
        <v>22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 ht="15" customHeight="1">
      <c r="A89" s="2" t="s">
        <v>47</v>
      </c>
      <c r="B89" s="2" t="s">
        <v>20</v>
      </c>
      <c r="C89" s="2" t="s">
        <v>31</v>
      </c>
      <c r="D89" s="2" t="s">
        <v>22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 ht="15" customHeight="1">
      <c r="A90" s="2" t="s">
        <v>48</v>
      </c>
      <c r="B90" s="2" t="s">
        <v>15</v>
      </c>
      <c r="C90" s="2" t="s">
        <v>28</v>
      </c>
      <c r="D90" s="2" t="s">
        <v>32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 ht="15" customHeight="1">
      <c r="A91" s="2" t="s">
        <v>48</v>
      </c>
      <c r="B91" s="2" t="s">
        <v>18</v>
      </c>
      <c r="C91" s="2" t="s">
        <v>28</v>
      </c>
      <c r="D91" s="2" t="s">
        <v>32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 ht="15" customHeight="1">
      <c r="A92" s="2" t="s">
        <v>48</v>
      </c>
      <c r="B92" s="2" t="s">
        <v>19</v>
      </c>
      <c r="C92" s="2" t="s">
        <v>28</v>
      </c>
      <c r="D92" s="2" t="s">
        <v>32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 ht="15" customHeight="1">
      <c r="A93" s="2" t="s">
        <v>48</v>
      </c>
      <c r="B93" s="2" t="s">
        <v>20</v>
      </c>
      <c r="C93" s="2" t="s">
        <v>28</v>
      </c>
      <c r="D93" s="2" t="s">
        <v>32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 ht="15" customHeight="1">
      <c r="A94" s="2" t="s">
        <v>49</v>
      </c>
      <c r="B94" s="2" t="s">
        <v>15</v>
      </c>
      <c r="C94" s="2" t="s">
        <v>31</v>
      </c>
      <c r="D94" s="2" t="s">
        <v>17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 ht="15" customHeight="1">
      <c r="A95" s="2" t="s">
        <v>49</v>
      </c>
      <c r="B95" s="2" t="s">
        <v>18</v>
      </c>
      <c r="C95" s="2" t="s">
        <v>31</v>
      </c>
      <c r="D95" s="2" t="s">
        <v>17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 ht="15" customHeight="1">
      <c r="A96" s="2" t="s">
        <v>49</v>
      </c>
      <c r="B96" s="2" t="s">
        <v>19</v>
      </c>
      <c r="C96" s="2" t="s">
        <v>31</v>
      </c>
      <c r="D96" s="2" t="s">
        <v>17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 ht="15" customHeight="1">
      <c r="A97" s="2" t="s">
        <v>49</v>
      </c>
      <c r="B97" s="2" t="s">
        <v>20</v>
      </c>
      <c r="C97" s="2" t="s">
        <v>31</v>
      </c>
      <c r="D97" s="2" t="s">
        <v>17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 ht="15" customHeight="1">
      <c r="A98" s="2" t="s">
        <v>50</v>
      </c>
      <c r="B98" s="2" t="s">
        <v>15</v>
      </c>
      <c r="C98" s="2" t="s">
        <v>31</v>
      </c>
      <c r="D98" s="2" t="s">
        <v>32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 ht="15" customHeight="1">
      <c r="A99" s="2" t="s">
        <v>50</v>
      </c>
      <c r="B99" s="2" t="s">
        <v>18</v>
      </c>
      <c r="C99" s="2" t="s">
        <v>31</v>
      </c>
      <c r="D99" s="2" t="s">
        <v>32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 ht="15" customHeight="1">
      <c r="A100" s="2" t="s">
        <v>50</v>
      </c>
      <c r="B100" s="2" t="s">
        <v>19</v>
      </c>
      <c r="C100" s="2" t="s">
        <v>31</v>
      </c>
      <c r="D100" s="2" t="s">
        <v>32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 ht="15" customHeight="1">
      <c r="A101" s="2" t="s">
        <v>50</v>
      </c>
      <c r="B101" s="2" t="s">
        <v>20</v>
      </c>
      <c r="C101" s="2" t="s">
        <v>31</v>
      </c>
      <c r="D101" s="2" t="s">
        <v>32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 ht="15" customHeight="1">
      <c r="A102" s="2" t="s">
        <v>51</v>
      </c>
      <c r="B102" s="2" t="s">
        <v>15</v>
      </c>
      <c r="C102" s="2" t="s">
        <v>16</v>
      </c>
      <c r="D102" s="2" t="s">
        <v>32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 ht="15" customHeight="1">
      <c r="A103" s="2" t="s">
        <v>51</v>
      </c>
      <c r="B103" s="2" t="s">
        <v>18</v>
      </c>
      <c r="C103" s="2" t="s">
        <v>16</v>
      </c>
      <c r="D103" s="2" t="s">
        <v>32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 ht="15" customHeight="1">
      <c r="A104" s="2" t="s">
        <v>51</v>
      </c>
      <c r="B104" s="2" t="s">
        <v>19</v>
      </c>
      <c r="C104" s="2" t="s">
        <v>16</v>
      </c>
      <c r="D104" s="2" t="s">
        <v>32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 ht="15" customHeight="1">
      <c r="A105" s="2" t="s">
        <v>51</v>
      </c>
      <c r="B105" s="2" t="s">
        <v>20</v>
      </c>
      <c r="C105" s="2" t="s">
        <v>16</v>
      </c>
      <c r="D105" s="2" t="s">
        <v>32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 ht="15" customHeight="1">
      <c r="A106" s="2" t="s">
        <v>52</v>
      </c>
      <c r="B106" s="2" t="s">
        <v>15</v>
      </c>
      <c r="C106" s="2" t="s">
        <v>31</v>
      </c>
      <c r="D106" s="2" t="s">
        <v>22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 ht="15" customHeight="1">
      <c r="A107" s="2" t="s">
        <v>52</v>
      </c>
      <c r="B107" s="2" t="s">
        <v>18</v>
      </c>
      <c r="C107" s="2" t="s">
        <v>31</v>
      </c>
      <c r="D107" s="2" t="s">
        <v>22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 ht="15" customHeight="1">
      <c r="A108" s="2" t="s">
        <v>52</v>
      </c>
      <c r="B108" s="2" t="s">
        <v>19</v>
      </c>
      <c r="C108" s="2" t="s">
        <v>31</v>
      </c>
      <c r="D108" s="2" t="s">
        <v>22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 ht="15" customHeight="1">
      <c r="A109" s="2" t="s">
        <v>52</v>
      </c>
      <c r="B109" s="2" t="s">
        <v>20</v>
      </c>
      <c r="C109" s="2" t="s">
        <v>31</v>
      </c>
      <c r="D109" s="2" t="s">
        <v>22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 ht="15" customHeight="1">
      <c r="A110" s="2" t="s">
        <v>53</v>
      </c>
      <c r="B110" s="2" t="s">
        <v>15</v>
      </c>
      <c r="C110" s="2" t="s">
        <v>16</v>
      </c>
      <c r="D110" s="2" t="s">
        <v>32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 ht="15" customHeight="1">
      <c r="A111" s="2" t="s">
        <v>53</v>
      </c>
      <c r="B111" s="2" t="s">
        <v>18</v>
      </c>
      <c r="C111" s="2" t="s">
        <v>16</v>
      </c>
      <c r="D111" s="2" t="s">
        <v>32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 ht="15" customHeight="1">
      <c r="A112" s="2" t="s">
        <v>53</v>
      </c>
      <c r="B112" s="2" t="s">
        <v>19</v>
      </c>
      <c r="C112" s="2" t="s">
        <v>16</v>
      </c>
      <c r="D112" s="2" t="s">
        <v>32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 ht="15" customHeight="1">
      <c r="A113" s="2" t="s">
        <v>53</v>
      </c>
      <c r="B113" s="2" t="s">
        <v>20</v>
      </c>
      <c r="C113" s="2" t="s">
        <v>16</v>
      </c>
      <c r="D113" s="2" t="s">
        <v>32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 ht="15" customHeight="1">
      <c r="A114" s="2" t="s">
        <v>54</v>
      </c>
      <c r="B114" s="2" t="s">
        <v>15</v>
      </c>
      <c r="C114" s="2" t="s">
        <v>31</v>
      </c>
      <c r="D114" s="2" t="s">
        <v>32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 ht="15" customHeight="1">
      <c r="A115" s="2" t="s">
        <v>54</v>
      </c>
      <c r="B115" s="2" t="s">
        <v>18</v>
      </c>
      <c r="C115" s="2" t="s">
        <v>31</v>
      </c>
      <c r="D115" s="2" t="s">
        <v>32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 ht="15" customHeight="1">
      <c r="A116" s="2" t="s">
        <v>54</v>
      </c>
      <c r="B116" s="2" t="s">
        <v>19</v>
      </c>
      <c r="C116" s="2" t="s">
        <v>31</v>
      </c>
      <c r="D116" s="2" t="s">
        <v>32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 ht="15" customHeight="1">
      <c r="A117" s="2" t="s">
        <v>54</v>
      </c>
      <c r="B117" s="2" t="s">
        <v>20</v>
      </c>
      <c r="C117" s="2" t="s">
        <v>31</v>
      </c>
      <c r="D117" s="2" t="s">
        <v>32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 ht="15" customHeight="1">
      <c r="A118" s="2" t="s">
        <v>55</v>
      </c>
      <c r="B118" s="2" t="s">
        <v>15</v>
      </c>
      <c r="C118" s="2" t="s">
        <v>31</v>
      </c>
      <c r="D118" s="2" t="s">
        <v>17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 ht="15" customHeight="1">
      <c r="A119" s="2" t="s">
        <v>55</v>
      </c>
      <c r="B119" s="2" t="s">
        <v>18</v>
      </c>
      <c r="C119" s="2" t="s">
        <v>31</v>
      </c>
      <c r="D119" s="2" t="s">
        <v>17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 ht="15" customHeight="1">
      <c r="A120" s="2" t="s">
        <v>55</v>
      </c>
      <c r="B120" s="2" t="s">
        <v>19</v>
      </c>
      <c r="C120" s="2" t="s">
        <v>31</v>
      </c>
      <c r="D120" s="2" t="s">
        <v>17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 ht="15" customHeight="1">
      <c r="A121" s="2" t="s">
        <v>55</v>
      </c>
      <c r="B121" s="2" t="s">
        <v>20</v>
      </c>
      <c r="C121" s="2" t="s">
        <v>31</v>
      </c>
      <c r="D121" s="2" t="s">
        <v>17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 ht="15" customHeight="1">
      <c r="A122" s="2" t="s">
        <v>56</v>
      </c>
      <c r="B122" s="2" t="s">
        <v>15</v>
      </c>
      <c r="C122" s="2" t="s">
        <v>24</v>
      </c>
      <c r="D122" s="2" t="s">
        <v>22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 ht="15" customHeight="1">
      <c r="A123" s="2" t="s">
        <v>56</v>
      </c>
      <c r="B123" s="2" t="s">
        <v>18</v>
      </c>
      <c r="C123" s="2" t="s">
        <v>24</v>
      </c>
      <c r="D123" s="2" t="s">
        <v>22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 ht="15" customHeight="1">
      <c r="A124" s="2" t="s">
        <v>56</v>
      </c>
      <c r="B124" s="2" t="s">
        <v>19</v>
      </c>
      <c r="C124" s="2" t="s">
        <v>24</v>
      </c>
      <c r="D124" s="2" t="s">
        <v>22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 ht="15" customHeight="1">
      <c r="A125" s="2" t="s">
        <v>56</v>
      </c>
      <c r="B125" s="2" t="s">
        <v>20</v>
      </c>
      <c r="C125" s="2" t="s">
        <v>24</v>
      </c>
      <c r="D125" s="2" t="s">
        <v>22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 ht="15" customHeight="1">
      <c r="A126" s="2" t="s">
        <v>57</v>
      </c>
      <c r="B126" s="2" t="s">
        <v>15</v>
      </c>
      <c r="C126" s="2" t="s">
        <v>28</v>
      </c>
      <c r="D126" s="2" t="s">
        <v>22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 ht="15" customHeight="1">
      <c r="A127" s="2" t="s">
        <v>57</v>
      </c>
      <c r="B127" s="2" t="s">
        <v>18</v>
      </c>
      <c r="C127" s="2" t="s">
        <v>28</v>
      </c>
      <c r="D127" s="2" t="s">
        <v>22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 ht="15" customHeight="1">
      <c r="A128" s="2" t="s">
        <v>57</v>
      </c>
      <c r="B128" s="2" t="s">
        <v>19</v>
      </c>
      <c r="C128" s="2" t="s">
        <v>28</v>
      </c>
      <c r="D128" s="2" t="s">
        <v>22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 ht="15" customHeight="1">
      <c r="A129" s="2" t="s">
        <v>57</v>
      </c>
      <c r="B129" s="2" t="s">
        <v>20</v>
      </c>
      <c r="C129" s="2" t="s">
        <v>28</v>
      </c>
      <c r="D129" s="2" t="s">
        <v>22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 ht="15" customHeight="1">
      <c r="A130" s="2" t="s">
        <v>58</v>
      </c>
      <c r="B130" s="2" t="s">
        <v>15</v>
      </c>
      <c r="C130" s="2" t="s">
        <v>16</v>
      </c>
      <c r="D130" s="2" t="s">
        <v>22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 ht="15" customHeight="1">
      <c r="A131" s="2" t="s">
        <v>58</v>
      </c>
      <c r="B131" s="2" t="s">
        <v>18</v>
      </c>
      <c r="C131" s="2" t="s">
        <v>16</v>
      </c>
      <c r="D131" s="2" t="s">
        <v>22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 ht="15" customHeight="1">
      <c r="A132" s="2" t="s">
        <v>58</v>
      </c>
      <c r="B132" s="2" t="s">
        <v>19</v>
      </c>
      <c r="C132" s="2" t="s">
        <v>16</v>
      </c>
      <c r="D132" s="2" t="s">
        <v>22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 ht="15" customHeight="1">
      <c r="A133" s="2" t="s">
        <v>58</v>
      </c>
      <c r="B133" s="2" t="s">
        <v>20</v>
      </c>
      <c r="C133" s="2" t="s">
        <v>16</v>
      </c>
      <c r="D133" s="2" t="s">
        <v>22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 ht="15" customHeight="1">
      <c r="A134" s="2" t="s">
        <v>59</v>
      </c>
      <c r="B134" s="2" t="s">
        <v>15</v>
      </c>
      <c r="C134" s="2" t="s">
        <v>24</v>
      </c>
      <c r="D134" s="2" t="s">
        <v>22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 ht="15" customHeight="1">
      <c r="A135" s="2" t="s">
        <v>59</v>
      </c>
      <c r="B135" s="2" t="s">
        <v>18</v>
      </c>
      <c r="C135" s="2" t="s">
        <v>24</v>
      </c>
      <c r="D135" s="2" t="s">
        <v>22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</row>
    <row r="136" spans="1:14" ht="15" customHeight="1">
      <c r="A136" s="2" t="s">
        <v>59</v>
      </c>
      <c r="B136" s="2" t="s">
        <v>19</v>
      </c>
      <c r="C136" s="2" t="s">
        <v>24</v>
      </c>
      <c r="D136" s="2" t="s">
        <v>22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 ht="15" customHeight="1">
      <c r="A137" s="2" t="s">
        <v>59</v>
      </c>
      <c r="B137" s="2" t="s">
        <v>20</v>
      </c>
      <c r="C137" s="2" t="s">
        <v>24</v>
      </c>
      <c r="D137" s="2" t="s">
        <v>22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 ht="15" customHeight="1">
      <c r="A138" s="2" t="s">
        <v>60</v>
      </c>
      <c r="B138" s="2" t="s">
        <v>15</v>
      </c>
      <c r="C138" s="2" t="s">
        <v>28</v>
      </c>
      <c r="D138" s="2" t="s">
        <v>17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</row>
    <row r="139" spans="1:14" ht="15" customHeight="1">
      <c r="A139" s="2" t="s">
        <v>60</v>
      </c>
      <c r="B139" s="2" t="s">
        <v>18</v>
      </c>
      <c r="C139" s="2" t="s">
        <v>28</v>
      </c>
      <c r="D139" s="2" t="s">
        <v>17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 ht="15" customHeight="1">
      <c r="A140" s="2" t="s">
        <v>60</v>
      </c>
      <c r="B140" s="2" t="s">
        <v>19</v>
      </c>
      <c r="C140" s="2" t="s">
        <v>28</v>
      </c>
      <c r="D140" s="2" t="s">
        <v>17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 ht="15" customHeight="1">
      <c r="A141" s="2" t="s">
        <v>60</v>
      </c>
      <c r="B141" s="2" t="s">
        <v>20</v>
      </c>
      <c r="C141" s="2" t="s">
        <v>28</v>
      </c>
      <c r="D141" s="2" t="s">
        <v>17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 ht="15" customHeight="1">
      <c r="A142" s="2" t="s">
        <v>61</v>
      </c>
      <c r="B142" s="2" t="s">
        <v>15</v>
      </c>
      <c r="C142" s="2" t="s">
        <v>31</v>
      </c>
      <c r="D142" s="2" t="s">
        <v>22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 ht="15" customHeight="1">
      <c r="A143" s="2" t="s">
        <v>61</v>
      </c>
      <c r="B143" s="2" t="s">
        <v>18</v>
      </c>
      <c r="C143" s="2" t="s">
        <v>31</v>
      </c>
      <c r="D143" s="2" t="s">
        <v>22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 ht="15" customHeight="1">
      <c r="A144" s="2" t="s">
        <v>61</v>
      </c>
      <c r="B144" s="2" t="s">
        <v>19</v>
      </c>
      <c r="C144" s="2" t="s">
        <v>31</v>
      </c>
      <c r="D144" s="2" t="s">
        <v>22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 ht="15" customHeight="1">
      <c r="A145" s="2" t="s">
        <v>61</v>
      </c>
      <c r="B145" s="2" t="s">
        <v>20</v>
      </c>
      <c r="C145" s="2" t="s">
        <v>31</v>
      </c>
      <c r="D145" s="2" t="s">
        <v>22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 ht="15" customHeight="1">
      <c r="A146" s="2" t="s">
        <v>62</v>
      </c>
      <c r="B146" s="2" t="s">
        <v>15</v>
      </c>
      <c r="C146" s="2" t="s">
        <v>24</v>
      </c>
      <c r="D146" s="2" t="s">
        <v>17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 ht="15" customHeight="1">
      <c r="A147" s="2" t="s">
        <v>62</v>
      </c>
      <c r="B147" s="2" t="s">
        <v>18</v>
      </c>
      <c r="C147" s="2" t="s">
        <v>24</v>
      </c>
      <c r="D147" s="2" t="s">
        <v>17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 ht="15" customHeight="1">
      <c r="A148" s="2" t="s">
        <v>62</v>
      </c>
      <c r="B148" s="2" t="s">
        <v>19</v>
      </c>
      <c r="C148" s="2" t="s">
        <v>24</v>
      </c>
      <c r="D148" s="2" t="s">
        <v>17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 ht="15" customHeight="1">
      <c r="A149" s="2" t="s">
        <v>62</v>
      </c>
      <c r="B149" s="2" t="s">
        <v>20</v>
      </c>
      <c r="C149" s="2" t="s">
        <v>24</v>
      </c>
      <c r="D149" s="2" t="s">
        <v>17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 ht="15" customHeight="1">
      <c r="A150" s="2" t="s">
        <v>63</v>
      </c>
      <c r="B150" s="2" t="s">
        <v>15</v>
      </c>
      <c r="C150" s="2" t="s">
        <v>28</v>
      </c>
      <c r="D150" s="2" t="s">
        <v>32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 ht="15" customHeight="1">
      <c r="A151" s="2" t="s">
        <v>63</v>
      </c>
      <c r="B151" s="2" t="s">
        <v>18</v>
      </c>
      <c r="C151" s="2" t="s">
        <v>28</v>
      </c>
      <c r="D151" s="2" t="s">
        <v>32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 ht="15" customHeight="1">
      <c r="A152" s="2" t="s">
        <v>63</v>
      </c>
      <c r="B152" s="2" t="s">
        <v>19</v>
      </c>
      <c r="C152" s="2" t="s">
        <v>28</v>
      </c>
      <c r="D152" s="2" t="s">
        <v>32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 ht="15" customHeight="1">
      <c r="A153" s="2" t="s">
        <v>63</v>
      </c>
      <c r="B153" s="2" t="s">
        <v>20</v>
      </c>
      <c r="C153" s="2" t="s">
        <v>28</v>
      </c>
      <c r="D153" s="2" t="s">
        <v>32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 ht="15" customHeight="1">
      <c r="A154" s="2" t="s">
        <v>64</v>
      </c>
      <c r="B154" s="2" t="s">
        <v>15</v>
      </c>
      <c r="C154" s="2" t="s">
        <v>16</v>
      </c>
      <c r="D154" s="2" t="s">
        <v>22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 ht="15" customHeight="1">
      <c r="A155" s="2" t="s">
        <v>64</v>
      </c>
      <c r="B155" s="2" t="s">
        <v>18</v>
      </c>
      <c r="C155" s="2" t="s">
        <v>16</v>
      </c>
      <c r="D155" s="2" t="s">
        <v>22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 ht="15" customHeight="1">
      <c r="A156" s="2" t="s">
        <v>64</v>
      </c>
      <c r="B156" s="2" t="s">
        <v>19</v>
      </c>
      <c r="C156" s="2" t="s">
        <v>16</v>
      </c>
      <c r="D156" s="2" t="s">
        <v>22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 ht="15" customHeight="1">
      <c r="A157" s="2" t="s">
        <v>64</v>
      </c>
      <c r="B157" s="2" t="s">
        <v>20</v>
      </c>
      <c r="C157" s="2" t="s">
        <v>16</v>
      </c>
      <c r="D157" s="2" t="s">
        <v>22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 ht="15" customHeight="1">
      <c r="A158" s="2" t="s">
        <v>65</v>
      </c>
      <c r="B158" s="2" t="s">
        <v>15</v>
      </c>
      <c r="C158" s="2" t="s">
        <v>24</v>
      </c>
      <c r="D158" s="2" t="s">
        <v>32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 ht="15" customHeight="1">
      <c r="A159" s="2" t="s">
        <v>65</v>
      </c>
      <c r="B159" s="2" t="s">
        <v>18</v>
      </c>
      <c r="C159" s="2" t="s">
        <v>24</v>
      </c>
      <c r="D159" s="2" t="s">
        <v>32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 ht="15" customHeight="1">
      <c r="A160" s="2" t="s">
        <v>65</v>
      </c>
      <c r="B160" s="2" t="s">
        <v>19</v>
      </c>
      <c r="C160" s="2" t="s">
        <v>24</v>
      </c>
      <c r="D160" s="2" t="s">
        <v>32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 ht="15" customHeight="1">
      <c r="A161" s="2" t="s">
        <v>65</v>
      </c>
      <c r="B161" s="2" t="s">
        <v>20</v>
      </c>
      <c r="C161" s="2" t="s">
        <v>24</v>
      </c>
      <c r="D161" s="2" t="s">
        <v>32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 ht="15" customHeight="1">
      <c r="A162" s="2" t="s">
        <v>66</v>
      </c>
      <c r="B162" s="2" t="s">
        <v>15</v>
      </c>
      <c r="C162" s="2" t="s">
        <v>28</v>
      </c>
      <c r="D162" s="2" t="s">
        <v>22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 ht="15" customHeight="1">
      <c r="A163" s="2" t="s">
        <v>66</v>
      </c>
      <c r="B163" s="2" t="s">
        <v>18</v>
      </c>
      <c r="C163" s="2" t="s">
        <v>28</v>
      </c>
      <c r="D163" s="2" t="s">
        <v>22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 ht="15" customHeight="1">
      <c r="A164" s="2" t="s">
        <v>66</v>
      </c>
      <c r="B164" s="2" t="s">
        <v>19</v>
      </c>
      <c r="C164" s="2" t="s">
        <v>28</v>
      </c>
      <c r="D164" s="2" t="s">
        <v>22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</row>
    <row r="165" spans="1:14" ht="15" customHeight="1">
      <c r="A165" s="2" t="s">
        <v>66</v>
      </c>
      <c r="B165" s="2" t="s">
        <v>20</v>
      </c>
      <c r="C165" s="2" t="s">
        <v>28</v>
      </c>
      <c r="D165" s="2" t="s">
        <v>22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 ht="15" customHeight="1">
      <c r="A166" s="2" t="s">
        <v>67</v>
      </c>
      <c r="B166" s="2" t="s">
        <v>15</v>
      </c>
      <c r="C166" s="2" t="s">
        <v>24</v>
      </c>
      <c r="D166" s="2" t="s">
        <v>32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 ht="15" customHeight="1">
      <c r="A167" s="2" t="s">
        <v>67</v>
      </c>
      <c r="B167" s="2" t="s">
        <v>18</v>
      </c>
      <c r="C167" s="2" t="s">
        <v>24</v>
      </c>
      <c r="D167" s="2" t="s">
        <v>32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 ht="15" customHeight="1">
      <c r="A168" s="2" t="s">
        <v>67</v>
      </c>
      <c r="B168" s="2" t="s">
        <v>19</v>
      </c>
      <c r="C168" s="2" t="s">
        <v>24</v>
      </c>
      <c r="D168" s="2" t="s">
        <v>32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 ht="15" customHeight="1">
      <c r="A169" s="2" t="s">
        <v>67</v>
      </c>
      <c r="B169" s="2" t="s">
        <v>20</v>
      </c>
      <c r="C169" s="2" t="s">
        <v>24</v>
      </c>
      <c r="D169" s="2" t="s">
        <v>32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 ht="15" customHeight="1">
      <c r="A170" s="2" t="s">
        <v>68</v>
      </c>
      <c r="B170" s="2" t="s">
        <v>15</v>
      </c>
      <c r="C170" s="2" t="s">
        <v>16</v>
      </c>
      <c r="D170" s="2" t="s">
        <v>17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 ht="15" customHeight="1">
      <c r="A171" s="2" t="s">
        <v>68</v>
      </c>
      <c r="B171" s="2" t="s">
        <v>18</v>
      </c>
      <c r="C171" s="2" t="s">
        <v>16</v>
      </c>
      <c r="D171" s="2" t="s">
        <v>17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 ht="15" customHeight="1">
      <c r="A172" s="2" t="s">
        <v>68</v>
      </c>
      <c r="B172" s="2" t="s">
        <v>19</v>
      </c>
      <c r="C172" s="2" t="s">
        <v>16</v>
      </c>
      <c r="D172" s="2" t="s">
        <v>17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 ht="15" customHeight="1">
      <c r="A173" s="2" t="s">
        <v>68</v>
      </c>
      <c r="B173" s="2" t="s">
        <v>20</v>
      </c>
      <c r="C173" s="2" t="s">
        <v>16</v>
      </c>
      <c r="D173" s="2" t="s">
        <v>17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 ht="15" customHeight="1">
      <c r="A174" s="2" t="s">
        <v>69</v>
      </c>
      <c r="B174" s="2" t="s">
        <v>15</v>
      </c>
      <c r="C174" s="2" t="s">
        <v>16</v>
      </c>
      <c r="D174" s="2" t="s">
        <v>17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 ht="15" customHeight="1">
      <c r="A175" s="2" t="s">
        <v>69</v>
      </c>
      <c r="B175" s="2" t="s">
        <v>18</v>
      </c>
      <c r="C175" s="2" t="s">
        <v>16</v>
      </c>
      <c r="D175" s="2" t="s">
        <v>17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 ht="15" customHeight="1">
      <c r="A176" s="2" t="s">
        <v>69</v>
      </c>
      <c r="B176" s="2" t="s">
        <v>19</v>
      </c>
      <c r="C176" s="2" t="s">
        <v>16</v>
      </c>
      <c r="D176" s="2" t="s">
        <v>17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 ht="15" customHeight="1">
      <c r="A177" s="2" t="s">
        <v>69</v>
      </c>
      <c r="B177" s="2" t="s">
        <v>20</v>
      </c>
      <c r="C177" s="2" t="s">
        <v>16</v>
      </c>
      <c r="D177" s="2" t="s">
        <v>17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 ht="15" customHeight="1">
      <c r="A178" s="2" t="s">
        <v>70</v>
      </c>
      <c r="B178" s="2" t="s">
        <v>15</v>
      </c>
      <c r="C178" s="2" t="s">
        <v>31</v>
      </c>
      <c r="D178" s="2" t="s">
        <v>25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 ht="15" customHeight="1">
      <c r="A179" s="2" t="s">
        <v>70</v>
      </c>
      <c r="B179" s="2" t="s">
        <v>18</v>
      </c>
      <c r="C179" s="2" t="s">
        <v>31</v>
      </c>
      <c r="D179" s="2" t="s">
        <v>25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 ht="15" customHeight="1">
      <c r="A180" s="2" t="s">
        <v>70</v>
      </c>
      <c r="B180" s="2" t="s">
        <v>19</v>
      </c>
      <c r="C180" s="2" t="s">
        <v>31</v>
      </c>
      <c r="D180" s="2" t="s">
        <v>25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 ht="15" customHeight="1">
      <c r="A181" s="2" t="s">
        <v>70</v>
      </c>
      <c r="B181" s="2" t="s">
        <v>20</v>
      </c>
      <c r="C181" s="2" t="s">
        <v>31</v>
      </c>
      <c r="D181" s="2" t="s">
        <v>25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 ht="15" customHeight="1">
      <c r="A182" s="2" t="s">
        <v>71</v>
      </c>
      <c r="B182" s="2" t="s">
        <v>15</v>
      </c>
      <c r="C182" s="2" t="s">
        <v>31</v>
      </c>
      <c r="D182" s="2" t="s">
        <v>17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 ht="15" customHeight="1">
      <c r="A183" s="2" t="s">
        <v>71</v>
      </c>
      <c r="B183" s="2" t="s">
        <v>18</v>
      </c>
      <c r="C183" s="2" t="s">
        <v>31</v>
      </c>
      <c r="D183" s="2" t="s">
        <v>17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 ht="15" customHeight="1">
      <c r="A184" s="2" t="s">
        <v>71</v>
      </c>
      <c r="B184" s="2" t="s">
        <v>19</v>
      </c>
      <c r="C184" s="2" t="s">
        <v>31</v>
      </c>
      <c r="D184" s="2" t="s">
        <v>17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 ht="15" customHeight="1">
      <c r="A185" s="2" t="s">
        <v>71</v>
      </c>
      <c r="B185" s="2" t="s">
        <v>20</v>
      </c>
      <c r="C185" s="2" t="s">
        <v>31</v>
      </c>
      <c r="D185" s="2" t="s">
        <v>17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 ht="15" customHeight="1">
      <c r="A186" s="2" t="s">
        <v>72</v>
      </c>
      <c r="B186" s="2" t="s">
        <v>15</v>
      </c>
      <c r="C186" s="2" t="s">
        <v>24</v>
      </c>
      <c r="D186" s="2" t="s">
        <v>22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 ht="15" customHeight="1">
      <c r="A187" s="2" t="s">
        <v>72</v>
      </c>
      <c r="B187" s="2" t="s">
        <v>18</v>
      </c>
      <c r="C187" s="2" t="s">
        <v>24</v>
      </c>
      <c r="D187" s="2" t="s">
        <v>22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 ht="15" customHeight="1">
      <c r="A188" s="2" t="s">
        <v>72</v>
      </c>
      <c r="B188" s="2" t="s">
        <v>19</v>
      </c>
      <c r="C188" s="2" t="s">
        <v>24</v>
      </c>
      <c r="D188" s="2" t="s">
        <v>22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 ht="15" customHeight="1">
      <c r="A189" s="2" t="s">
        <v>72</v>
      </c>
      <c r="B189" s="2" t="s">
        <v>20</v>
      </c>
      <c r="C189" s="2" t="s">
        <v>24</v>
      </c>
      <c r="D189" s="2" t="s">
        <v>22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 ht="15" customHeight="1">
      <c r="A190" s="2" t="s">
        <v>73</v>
      </c>
      <c r="B190" s="2" t="s">
        <v>15</v>
      </c>
      <c r="C190" s="2" t="s">
        <v>16</v>
      </c>
      <c r="D190" s="2" t="s">
        <v>22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 ht="15" customHeight="1">
      <c r="A191" s="2" t="s">
        <v>73</v>
      </c>
      <c r="B191" s="2" t="s">
        <v>18</v>
      </c>
      <c r="C191" s="2" t="s">
        <v>16</v>
      </c>
      <c r="D191" s="2" t="s">
        <v>22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 ht="15" customHeight="1">
      <c r="A192" s="2" t="s">
        <v>73</v>
      </c>
      <c r="B192" s="2" t="s">
        <v>19</v>
      </c>
      <c r="C192" s="2" t="s">
        <v>16</v>
      </c>
      <c r="D192" s="2" t="s">
        <v>22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 ht="15" customHeight="1">
      <c r="A193" s="2" t="s">
        <v>73</v>
      </c>
      <c r="B193" s="2" t="s">
        <v>20</v>
      </c>
      <c r="C193" s="2" t="s">
        <v>16</v>
      </c>
      <c r="D193" s="2" t="s">
        <v>22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 ht="15" customHeight="1">
      <c r="A194" s="2" t="s">
        <v>74</v>
      </c>
      <c r="B194" s="2" t="s">
        <v>15</v>
      </c>
      <c r="C194" s="2" t="s">
        <v>31</v>
      </c>
      <c r="D194" s="2" t="s">
        <v>17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 ht="15" customHeight="1">
      <c r="A195" s="2" t="s">
        <v>74</v>
      </c>
      <c r="B195" s="2" t="s">
        <v>18</v>
      </c>
      <c r="C195" s="2" t="s">
        <v>31</v>
      </c>
      <c r="D195" s="2" t="s">
        <v>17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 ht="15" customHeight="1">
      <c r="A196" s="2" t="s">
        <v>74</v>
      </c>
      <c r="B196" s="2" t="s">
        <v>19</v>
      </c>
      <c r="C196" s="2" t="s">
        <v>31</v>
      </c>
      <c r="D196" s="2" t="s">
        <v>17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 ht="15" customHeight="1">
      <c r="A197" s="2" t="s">
        <v>74</v>
      </c>
      <c r="B197" s="2" t="s">
        <v>20</v>
      </c>
      <c r="C197" s="2" t="s">
        <v>31</v>
      </c>
      <c r="D197" s="2" t="s">
        <v>17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</row>
    <row r="198" spans="1:14" ht="15" customHeight="1">
      <c r="A198" s="2" t="s">
        <v>75</v>
      </c>
      <c r="B198" s="2" t="s">
        <v>15</v>
      </c>
      <c r="C198" s="2" t="s">
        <v>24</v>
      </c>
      <c r="D198" s="2" t="s">
        <v>17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 ht="15" customHeight="1">
      <c r="A199" s="2" t="s">
        <v>75</v>
      </c>
      <c r="B199" s="2" t="s">
        <v>18</v>
      </c>
      <c r="C199" s="2" t="s">
        <v>24</v>
      </c>
      <c r="D199" s="2" t="s">
        <v>17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 ht="15" customHeight="1">
      <c r="A200" s="2" t="s">
        <v>75</v>
      </c>
      <c r="B200" s="2" t="s">
        <v>19</v>
      </c>
      <c r="C200" s="2" t="s">
        <v>24</v>
      </c>
      <c r="D200" s="2" t="s">
        <v>17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 ht="15" customHeight="1">
      <c r="A201" s="2" t="s">
        <v>75</v>
      </c>
      <c r="B201" s="2" t="s">
        <v>20</v>
      </c>
      <c r="C201" s="2" t="s">
        <v>24</v>
      </c>
      <c r="D201" s="2" t="s">
        <v>17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 ht="15" customHeight="1">
      <c r="A202" s="2" t="s">
        <v>76</v>
      </c>
      <c r="B202" s="2" t="s">
        <v>15</v>
      </c>
      <c r="C202" s="2" t="s">
        <v>16</v>
      </c>
      <c r="D202" s="2" t="s">
        <v>25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 ht="15" customHeight="1">
      <c r="A203" s="2" t="s">
        <v>76</v>
      </c>
      <c r="B203" s="2" t="s">
        <v>18</v>
      </c>
      <c r="C203" s="2" t="s">
        <v>16</v>
      </c>
      <c r="D203" s="2" t="s">
        <v>25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 ht="15" customHeight="1">
      <c r="A204" s="2" t="s">
        <v>76</v>
      </c>
      <c r="B204" s="2" t="s">
        <v>19</v>
      </c>
      <c r="C204" s="2" t="s">
        <v>16</v>
      </c>
      <c r="D204" s="2" t="s">
        <v>25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 ht="15" customHeight="1">
      <c r="A205" s="2" t="s">
        <v>76</v>
      </c>
      <c r="B205" s="2" t="s">
        <v>20</v>
      </c>
      <c r="C205" s="2" t="s">
        <v>16</v>
      </c>
      <c r="D205" s="2" t="s">
        <v>25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 ht="15" customHeight="1">
      <c r="A206" s="2" t="s">
        <v>77</v>
      </c>
      <c r="B206" s="2" t="s">
        <v>15</v>
      </c>
      <c r="C206" s="2" t="s">
        <v>16</v>
      </c>
      <c r="D206" s="2" t="s">
        <v>32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 ht="15" customHeight="1">
      <c r="A207" s="2" t="s">
        <v>77</v>
      </c>
      <c r="B207" s="2" t="s">
        <v>18</v>
      </c>
      <c r="C207" s="2" t="s">
        <v>16</v>
      </c>
      <c r="D207" s="2" t="s">
        <v>32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 ht="15" customHeight="1">
      <c r="A208" s="2" t="s">
        <v>77</v>
      </c>
      <c r="B208" s="2" t="s">
        <v>19</v>
      </c>
      <c r="C208" s="2" t="s">
        <v>16</v>
      </c>
      <c r="D208" s="2" t="s">
        <v>32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 ht="15" customHeight="1">
      <c r="A209" s="2" t="s">
        <v>77</v>
      </c>
      <c r="B209" s="2" t="s">
        <v>20</v>
      </c>
      <c r="C209" s="2" t="s">
        <v>16</v>
      </c>
      <c r="D209" s="2" t="s">
        <v>32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 ht="15" customHeight="1">
      <c r="A210" s="2" t="s">
        <v>78</v>
      </c>
      <c r="B210" s="2" t="s">
        <v>15</v>
      </c>
      <c r="C210" s="2" t="s">
        <v>16</v>
      </c>
      <c r="D210" s="2" t="s">
        <v>22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 ht="15" customHeight="1">
      <c r="A211" s="2" t="s">
        <v>78</v>
      </c>
      <c r="B211" s="2" t="s">
        <v>18</v>
      </c>
      <c r="C211" s="2" t="s">
        <v>16</v>
      </c>
      <c r="D211" s="2" t="s">
        <v>22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 ht="15" customHeight="1">
      <c r="A212" s="2" t="s">
        <v>78</v>
      </c>
      <c r="B212" s="2" t="s">
        <v>19</v>
      </c>
      <c r="C212" s="2" t="s">
        <v>16</v>
      </c>
      <c r="D212" s="2" t="s">
        <v>22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 ht="15" customHeight="1">
      <c r="A213" s="2" t="s">
        <v>78</v>
      </c>
      <c r="B213" s="2" t="s">
        <v>20</v>
      </c>
      <c r="C213" s="2" t="s">
        <v>16</v>
      </c>
      <c r="D213" s="2" t="s">
        <v>22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 ht="15" customHeight="1">
      <c r="A214" s="2" t="s">
        <v>79</v>
      </c>
      <c r="B214" s="2" t="s">
        <v>15</v>
      </c>
      <c r="C214" s="2" t="s">
        <v>31</v>
      </c>
      <c r="D214" s="2" t="s">
        <v>17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 ht="15" customHeight="1">
      <c r="A215" s="2" t="s">
        <v>79</v>
      </c>
      <c r="B215" s="2" t="s">
        <v>18</v>
      </c>
      <c r="C215" s="2" t="s">
        <v>31</v>
      </c>
      <c r="D215" s="2" t="s">
        <v>17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 ht="15" customHeight="1">
      <c r="A216" s="2" t="s">
        <v>79</v>
      </c>
      <c r="B216" s="2" t="s">
        <v>19</v>
      </c>
      <c r="C216" s="2" t="s">
        <v>31</v>
      </c>
      <c r="D216" s="2" t="s">
        <v>17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 ht="15" customHeight="1">
      <c r="A217" s="2" t="s">
        <v>79</v>
      </c>
      <c r="B217" s="2" t="s">
        <v>20</v>
      </c>
      <c r="C217" s="2" t="s">
        <v>31</v>
      </c>
      <c r="D217" s="2" t="s">
        <v>17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 ht="15" customHeight="1">
      <c r="A218" s="2" t="s">
        <v>80</v>
      </c>
      <c r="B218" s="2" t="s">
        <v>15</v>
      </c>
      <c r="C218" s="2" t="s">
        <v>24</v>
      </c>
      <c r="D218" s="2" t="s">
        <v>25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 ht="15" customHeight="1">
      <c r="A219" s="2" t="s">
        <v>80</v>
      </c>
      <c r="B219" s="2" t="s">
        <v>18</v>
      </c>
      <c r="C219" s="2" t="s">
        <v>24</v>
      </c>
      <c r="D219" s="2" t="s">
        <v>25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 ht="15" customHeight="1">
      <c r="A220" s="2" t="s">
        <v>80</v>
      </c>
      <c r="B220" s="2" t="s">
        <v>19</v>
      </c>
      <c r="C220" s="2" t="s">
        <v>24</v>
      </c>
      <c r="D220" s="2" t="s">
        <v>25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 ht="15" customHeight="1">
      <c r="A221" s="2" t="s">
        <v>80</v>
      </c>
      <c r="B221" s="2" t="s">
        <v>20</v>
      </c>
      <c r="C221" s="2" t="s">
        <v>24</v>
      </c>
      <c r="D221" s="2" t="s">
        <v>25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 ht="15" customHeight="1">
      <c r="A222" s="2" t="s">
        <v>81</v>
      </c>
      <c r="B222" s="2" t="s">
        <v>15</v>
      </c>
      <c r="C222" s="2" t="s">
        <v>16</v>
      </c>
      <c r="D222" s="2" t="s">
        <v>22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 ht="15" customHeight="1">
      <c r="A223" s="2" t="s">
        <v>81</v>
      </c>
      <c r="B223" s="2" t="s">
        <v>18</v>
      </c>
      <c r="C223" s="2" t="s">
        <v>16</v>
      </c>
      <c r="D223" s="2" t="s">
        <v>22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 ht="15" customHeight="1">
      <c r="A224" s="2" t="s">
        <v>81</v>
      </c>
      <c r="B224" s="2" t="s">
        <v>19</v>
      </c>
      <c r="C224" s="2" t="s">
        <v>16</v>
      </c>
      <c r="D224" s="2" t="s">
        <v>22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 ht="15" customHeight="1">
      <c r="A225" s="2" t="s">
        <v>81</v>
      </c>
      <c r="B225" s="2" t="s">
        <v>20</v>
      </c>
      <c r="C225" s="2" t="s">
        <v>16</v>
      </c>
      <c r="D225" s="2" t="s">
        <v>22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 ht="15" customHeight="1">
      <c r="A226" s="2" t="s">
        <v>82</v>
      </c>
      <c r="B226" s="2" t="s">
        <v>15</v>
      </c>
      <c r="C226" s="2" t="s">
        <v>16</v>
      </c>
      <c r="D226" s="2" t="s">
        <v>32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 ht="15" customHeight="1">
      <c r="A227" s="2" t="s">
        <v>82</v>
      </c>
      <c r="B227" s="2" t="s">
        <v>18</v>
      </c>
      <c r="C227" s="2" t="s">
        <v>16</v>
      </c>
      <c r="D227" s="2" t="s">
        <v>32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 ht="15" customHeight="1">
      <c r="A228" s="2" t="s">
        <v>82</v>
      </c>
      <c r="B228" s="2" t="s">
        <v>19</v>
      </c>
      <c r="C228" s="2" t="s">
        <v>16</v>
      </c>
      <c r="D228" s="2" t="s">
        <v>32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 ht="15" customHeight="1">
      <c r="A229" s="2" t="s">
        <v>82</v>
      </c>
      <c r="B229" s="2" t="s">
        <v>20</v>
      </c>
      <c r="C229" s="2" t="s">
        <v>16</v>
      </c>
      <c r="D229" s="2" t="s">
        <v>32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</row>
    <row r="230" spans="1:14" ht="15" customHeight="1">
      <c r="A230" s="2" t="s">
        <v>83</v>
      </c>
      <c r="B230" s="2" t="s">
        <v>15</v>
      </c>
      <c r="C230" s="2" t="s">
        <v>16</v>
      </c>
      <c r="D230" s="2" t="s">
        <v>22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 ht="15" customHeight="1">
      <c r="A231" s="2" t="s">
        <v>83</v>
      </c>
      <c r="B231" s="2" t="s">
        <v>18</v>
      </c>
      <c r="C231" s="2" t="s">
        <v>16</v>
      </c>
      <c r="D231" s="2" t="s">
        <v>22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 ht="15" customHeight="1">
      <c r="A232" s="2" t="s">
        <v>83</v>
      </c>
      <c r="B232" s="2" t="s">
        <v>19</v>
      </c>
      <c r="C232" s="2" t="s">
        <v>16</v>
      </c>
      <c r="D232" s="2" t="s">
        <v>22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 ht="15" customHeight="1">
      <c r="A233" s="2" t="s">
        <v>83</v>
      </c>
      <c r="B233" s="2" t="s">
        <v>20</v>
      </c>
      <c r="C233" s="2" t="s">
        <v>16</v>
      </c>
      <c r="D233" s="2" t="s">
        <v>22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</row>
    <row r="234" spans="1:14" ht="15" customHeight="1">
      <c r="A234" s="2" t="s">
        <v>84</v>
      </c>
      <c r="B234" s="2" t="s">
        <v>15</v>
      </c>
      <c r="C234" s="2" t="s">
        <v>31</v>
      </c>
      <c r="D234" s="2" t="s">
        <v>17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 ht="15" customHeight="1">
      <c r="A235" s="2" t="s">
        <v>84</v>
      </c>
      <c r="B235" s="2" t="s">
        <v>18</v>
      </c>
      <c r="C235" s="2" t="s">
        <v>31</v>
      </c>
      <c r="D235" s="2" t="s">
        <v>17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 ht="15" customHeight="1">
      <c r="A236" s="2" t="s">
        <v>84</v>
      </c>
      <c r="B236" s="2" t="s">
        <v>19</v>
      </c>
      <c r="C236" s="2" t="s">
        <v>31</v>
      </c>
      <c r="D236" s="2" t="s">
        <v>17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 ht="15" customHeight="1">
      <c r="A237" s="2" t="s">
        <v>84</v>
      </c>
      <c r="B237" s="2" t="s">
        <v>20</v>
      </c>
      <c r="C237" s="2" t="s">
        <v>31</v>
      </c>
      <c r="D237" s="2" t="s">
        <v>17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 ht="15" customHeight="1">
      <c r="A238" s="2" t="s">
        <v>85</v>
      </c>
      <c r="B238" s="2" t="s">
        <v>15</v>
      </c>
      <c r="C238" s="2" t="s">
        <v>31</v>
      </c>
      <c r="D238" s="2" t="s">
        <v>32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 ht="15" customHeight="1">
      <c r="A239" s="2" t="s">
        <v>85</v>
      </c>
      <c r="B239" s="2" t="s">
        <v>18</v>
      </c>
      <c r="C239" s="2" t="s">
        <v>31</v>
      </c>
      <c r="D239" s="2" t="s">
        <v>32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 ht="15" customHeight="1">
      <c r="A240" s="2" t="s">
        <v>85</v>
      </c>
      <c r="B240" s="2" t="s">
        <v>19</v>
      </c>
      <c r="C240" s="2" t="s">
        <v>31</v>
      </c>
      <c r="D240" s="2" t="s">
        <v>32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 ht="15" customHeight="1">
      <c r="A241" s="2" t="s">
        <v>85</v>
      </c>
      <c r="B241" s="2" t="s">
        <v>20</v>
      </c>
      <c r="C241" s="2" t="s">
        <v>31</v>
      </c>
      <c r="D241" s="2" t="s">
        <v>32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 ht="15" customHeight="1">
      <c r="A242" s="2" t="s">
        <v>86</v>
      </c>
      <c r="B242" s="2" t="s">
        <v>15</v>
      </c>
      <c r="C242" s="2" t="s">
        <v>28</v>
      </c>
      <c r="D242" s="2" t="s">
        <v>25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 ht="15" customHeight="1">
      <c r="A243" s="2" t="s">
        <v>86</v>
      </c>
      <c r="B243" s="2" t="s">
        <v>18</v>
      </c>
      <c r="C243" s="2" t="s">
        <v>28</v>
      </c>
      <c r="D243" s="2" t="s">
        <v>25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 ht="15" customHeight="1">
      <c r="A244" s="2" t="s">
        <v>86</v>
      </c>
      <c r="B244" s="2" t="s">
        <v>19</v>
      </c>
      <c r="C244" s="2" t="s">
        <v>28</v>
      </c>
      <c r="D244" s="2" t="s">
        <v>25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 ht="15" customHeight="1">
      <c r="A245" s="2" t="s">
        <v>86</v>
      </c>
      <c r="B245" s="2" t="s">
        <v>20</v>
      </c>
      <c r="C245" s="2" t="s">
        <v>28</v>
      </c>
      <c r="D245" s="2" t="s">
        <v>25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 ht="15" customHeight="1">
      <c r="A246" s="2" t="s">
        <v>87</v>
      </c>
      <c r="B246" s="2" t="s">
        <v>15</v>
      </c>
      <c r="C246" s="2" t="s">
        <v>16</v>
      </c>
      <c r="D246" s="2" t="s">
        <v>22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 ht="15" customHeight="1">
      <c r="A247" s="2" t="s">
        <v>87</v>
      </c>
      <c r="B247" s="2" t="s">
        <v>18</v>
      </c>
      <c r="C247" s="2" t="s">
        <v>16</v>
      </c>
      <c r="D247" s="2" t="s">
        <v>22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 ht="15" customHeight="1">
      <c r="A248" s="2" t="s">
        <v>87</v>
      </c>
      <c r="B248" s="2" t="s">
        <v>19</v>
      </c>
      <c r="C248" s="2" t="s">
        <v>16</v>
      </c>
      <c r="D248" s="2" t="s">
        <v>22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 ht="15" customHeight="1">
      <c r="A249" s="2" t="s">
        <v>87</v>
      </c>
      <c r="B249" s="2" t="s">
        <v>20</v>
      </c>
      <c r="C249" s="2" t="s">
        <v>16</v>
      </c>
      <c r="D249" s="2" t="s">
        <v>22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 ht="15" customHeight="1">
      <c r="A250" s="2" t="s">
        <v>88</v>
      </c>
      <c r="B250" s="2" t="s">
        <v>15</v>
      </c>
      <c r="C250" s="2" t="s">
        <v>24</v>
      </c>
      <c r="D250" s="2" t="s">
        <v>22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 ht="15" customHeight="1">
      <c r="A251" s="2" t="s">
        <v>88</v>
      </c>
      <c r="B251" s="2" t="s">
        <v>18</v>
      </c>
      <c r="C251" s="2" t="s">
        <v>24</v>
      </c>
      <c r="D251" s="2" t="s">
        <v>22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 ht="15" customHeight="1">
      <c r="A252" s="2" t="s">
        <v>88</v>
      </c>
      <c r="B252" s="2" t="s">
        <v>19</v>
      </c>
      <c r="C252" s="2" t="s">
        <v>24</v>
      </c>
      <c r="D252" s="2" t="s">
        <v>22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 ht="15" customHeight="1">
      <c r="A253" s="2" t="s">
        <v>88</v>
      </c>
      <c r="B253" s="2" t="s">
        <v>20</v>
      </c>
      <c r="C253" s="2" t="s">
        <v>24</v>
      </c>
      <c r="D253" s="2" t="s">
        <v>22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 ht="15" customHeight="1">
      <c r="A254" s="2" t="s">
        <v>89</v>
      </c>
      <c r="B254" s="2" t="s">
        <v>15</v>
      </c>
      <c r="C254" s="2" t="s">
        <v>28</v>
      </c>
      <c r="D254" s="2" t="s">
        <v>25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 ht="15" customHeight="1">
      <c r="A255" s="2" t="s">
        <v>89</v>
      </c>
      <c r="B255" s="2" t="s">
        <v>18</v>
      </c>
      <c r="C255" s="2" t="s">
        <v>28</v>
      </c>
      <c r="D255" s="2" t="s">
        <v>25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 ht="15" customHeight="1">
      <c r="A256" s="2" t="s">
        <v>89</v>
      </c>
      <c r="B256" s="2" t="s">
        <v>19</v>
      </c>
      <c r="C256" s="2" t="s">
        <v>28</v>
      </c>
      <c r="D256" s="2" t="s">
        <v>25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 ht="15" customHeight="1">
      <c r="A257" s="2" t="s">
        <v>89</v>
      </c>
      <c r="B257" s="2" t="s">
        <v>20</v>
      </c>
      <c r="C257" s="2" t="s">
        <v>28</v>
      </c>
      <c r="D257" s="2" t="s">
        <v>25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 ht="15" customHeight="1">
      <c r="A258" s="2" t="s">
        <v>90</v>
      </c>
      <c r="B258" s="2" t="s">
        <v>15</v>
      </c>
      <c r="C258" s="2" t="s">
        <v>28</v>
      </c>
      <c r="D258" s="2" t="s">
        <v>32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 ht="15" customHeight="1">
      <c r="A259" s="2" t="s">
        <v>90</v>
      </c>
      <c r="B259" s="2" t="s">
        <v>18</v>
      </c>
      <c r="C259" s="2" t="s">
        <v>28</v>
      </c>
      <c r="D259" s="2" t="s">
        <v>32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 ht="15" customHeight="1">
      <c r="A260" s="2" t="s">
        <v>90</v>
      </c>
      <c r="B260" s="2" t="s">
        <v>19</v>
      </c>
      <c r="C260" s="2" t="s">
        <v>28</v>
      </c>
      <c r="D260" s="2" t="s">
        <v>32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 ht="15" customHeight="1">
      <c r="A261" s="2" t="s">
        <v>90</v>
      </c>
      <c r="B261" s="2" t="s">
        <v>20</v>
      </c>
      <c r="C261" s="2" t="s">
        <v>28</v>
      </c>
      <c r="D261" s="2" t="s">
        <v>32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 ht="15" customHeight="1">
      <c r="A262" s="2" t="s">
        <v>91</v>
      </c>
      <c r="B262" s="2" t="s">
        <v>15</v>
      </c>
      <c r="C262" s="2" t="s">
        <v>31</v>
      </c>
      <c r="D262" s="2" t="s">
        <v>22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 ht="15" customHeight="1">
      <c r="A263" s="2" t="s">
        <v>91</v>
      </c>
      <c r="B263" s="2" t="s">
        <v>18</v>
      </c>
      <c r="C263" s="2" t="s">
        <v>31</v>
      </c>
      <c r="D263" s="2" t="s">
        <v>22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 ht="15" customHeight="1">
      <c r="A264" s="2" t="s">
        <v>91</v>
      </c>
      <c r="B264" s="2" t="s">
        <v>19</v>
      </c>
      <c r="C264" s="2" t="s">
        <v>31</v>
      </c>
      <c r="D264" s="2" t="s">
        <v>22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 ht="15" customHeight="1">
      <c r="A265" s="2" t="s">
        <v>91</v>
      </c>
      <c r="B265" s="2" t="s">
        <v>20</v>
      </c>
      <c r="C265" s="2" t="s">
        <v>31</v>
      </c>
      <c r="D265" s="2" t="s">
        <v>22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 ht="15" customHeight="1">
      <c r="A266" s="2" t="s">
        <v>92</v>
      </c>
      <c r="B266" s="2" t="s">
        <v>15</v>
      </c>
      <c r="C266" s="2" t="s">
        <v>16</v>
      </c>
      <c r="D266" s="2" t="s">
        <v>22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 ht="15" customHeight="1">
      <c r="A267" s="2" t="s">
        <v>92</v>
      </c>
      <c r="B267" s="2" t="s">
        <v>18</v>
      </c>
      <c r="C267" s="2" t="s">
        <v>16</v>
      </c>
      <c r="D267" s="2" t="s">
        <v>22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 ht="15" customHeight="1">
      <c r="A268" s="2" t="s">
        <v>92</v>
      </c>
      <c r="B268" s="2" t="s">
        <v>19</v>
      </c>
      <c r="C268" s="2" t="s">
        <v>16</v>
      </c>
      <c r="D268" s="2" t="s">
        <v>22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 ht="15" customHeight="1">
      <c r="A269" s="2" t="s">
        <v>92</v>
      </c>
      <c r="B269" s="2" t="s">
        <v>20</v>
      </c>
      <c r="C269" s="2" t="s">
        <v>16</v>
      </c>
      <c r="D269" s="2" t="s">
        <v>22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 ht="15" customHeight="1">
      <c r="A270" s="2" t="s">
        <v>93</v>
      </c>
      <c r="B270" s="2" t="s">
        <v>15</v>
      </c>
      <c r="C270" s="2" t="s">
        <v>16</v>
      </c>
      <c r="D270" s="2" t="s">
        <v>32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 ht="15" customHeight="1">
      <c r="A271" s="2" t="s">
        <v>93</v>
      </c>
      <c r="B271" s="2" t="s">
        <v>18</v>
      </c>
      <c r="C271" s="2" t="s">
        <v>16</v>
      </c>
      <c r="D271" s="2" t="s">
        <v>32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 ht="15" customHeight="1">
      <c r="A272" s="2" t="s">
        <v>93</v>
      </c>
      <c r="B272" s="2" t="s">
        <v>19</v>
      </c>
      <c r="C272" s="2" t="s">
        <v>16</v>
      </c>
      <c r="D272" s="2" t="s">
        <v>32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 ht="15" customHeight="1">
      <c r="A273" s="2" t="s">
        <v>93</v>
      </c>
      <c r="B273" s="2" t="s">
        <v>20</v>
      </c>
      <c r="C273" s="2" t="s">
        <v>16</v>
      </c>
      <c r="D273" s="2" t="s">
        <v>32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 ht="15" customHeight="1">
      <c r="A274" s="2" t="s">
        <v>94</v>
      </c>
      <c r="B274" s="2" t="s">
        <v>15</v>
      </c>
      <c r="C274" s="2" t="s">
        <v>31</v>
      </c>
      <c r="D274" s="2" t="s">
        <v>22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 ht="15" customHeight="1">
      <c r="A275" s="2" t="s">
        <v>94</v>
      </c>
      <c r="B275" s="2" t="s">
        <v>18</v>
      </c>
      <c r="C275" s="2" t="s">
        <v>31</v>
      </c>
      <c r="D275" s="2" t="s">
        <v>22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 ht="15" customHeight="1">
      <c r="A276" s="2" t="s">
        <v>94</v>
      </c>
      <c r="B276" s="2" t="s">
        <v>19</v>
      </c>
      <c r="C276" s="2" t="s">
        <v>31</v>
      </c>
      <c r="D276" s="2" t="s">
        <v>22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 ht="15" customHeight="1">
      <c r="A277" s="2" t="s">
        <v>94</v>
      </c>
      <c r="B277" s="2" t="s">
        <v>20</v>
      </c>
      <c r="C277" s="2" t="s">
        <v>31</v>
      </c>
      <c r="D277" s="2" t="s">
        <v>22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 ht="15" customHeight="1">
      <c r="A278" s="2" t="s">
        <v>95</v>
      </c>
      <c r="B278" s="2" t="s">
        <v>15</v>
      </c>
      <c r="C278" s="2" t="s">
        <v>28</v>
      </c>
      <c r="D278" s="2" t="s">
        <v>17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 ht="15" customHeight="1">
      <c r="A279" s="2" t="s">
        <v>95</v>
      </c>
      <c r="B279" s="2" t="s">
        <v>18</v>
      </c>
      <c r="C279" s="2" t="s">
        <v>28</v>
      </c>
      <c r="D279" s="2" t="s">
        <v>17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 ht="15" customHeight="1">
      <c r="A280" s="2" t="s">
        <v>95</v>
      </c>
      <c r="B280" s="2" t="s">
        <v>19</v>
      </c>
      <c r="C280" s="2" t="s">
        <v>28</v>
      </c>
      <c r="D280" s="2" t="s">
        <v>17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 ht="15" customHeight="1">
      <c r="A281" s="2" t="s">
        <v>95</v>
      </c>
      <c r="B281" s="2" t="s">
        <v>20</v>
      </c>
      <c r="C281" s="2" t="s">
        <v>28</v>
      </c>
      <c r="D281" s="2" t="s">
        <v>17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 ht="15" customHeight="1">
      <c r="A282" s="2" t="s">
        <v>96</v>
      </c>
      <c r="B282" s="2" t="s">
        <v>15</v>
      </c>
      <c r="C282" s="2" t="s">
        <v>28</v>
      </c>
      <c r="D282" s="2" t="s">
        <v>22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 ht="15" customHeight="1">
      <c r="A283" s="2" t="s">
        <v>96</v>
      </c>
      <c r="B283" s="2" t="s">
        <v>18</v>
      </c>
      <c r="C283" s="2" t="s">
        <v>28</v>
      </c>
      <c r="D283" s="2" t="s">
        <v>22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 ht="15" customHeight="1">
      <c r="A284" s="2" t="s">
        <v>96</v>
      </c>
      <c r="B284" s="2" t="s">
        <v>19</v>
      </c>
      <c r="C284" s="2" t="s">
        <v>28</v>
      </c>
      <c r="D284" s="2" t="s">
        <v>22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 ht="15" customHeight="1">
      <c r="A285" s="2" t="s">
        <v>96</v>
      </c>
      <c r="B285" s="2" t="s">
        <v>20</v>
      </c>
      <c r="C285" s="2" t="s">
        <v>28</v>
      </c>
      <c r="D285" s="2" t="s">
        <v>22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 ht="15" customHeight="1">
      <c r="A286" s="2" t="s">
        <v>97</v>
      </c>
      <c r="B286" s="2" t="s">
        <v>15</v>
      </c>
      <c r="C286" s="2" t="s">
        <v>31</v>
      </c>
      <c r="D286" s="2" t="s">
        <v>17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 ht="15" customHeight="1">
      <c r="A287" s="2" t="s">
        <v>97</v>
      </c>
      <c r="B287" s="2" t="s">
        <v>18</v>
      </c>
      <c r="C287" s="2" t="s">
        <v>31</v>
      </c>
      <c r="D287" s="2" t="s">
        <v>17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 ht="15" customHeight="1">
      <c r="A288" s="2" t="s">
        <v>97</v>
      </c>
      <c r="B288" s="2" t="s">
        <v>19</v>
      </c>
      <c r="C288" s="2" t="s">
        <v>31</v>
      </c>
      <c r="D288" s="2" t="s">
        <v>17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 ht="15" customHeight="1">
      <c r="A289" s="2" t="s">
        <v>97</v>
      </c>
      <c r="B289" s="2" t="s">
        <v>20</v>
      </c>
      <c r="C289" s="2" t="s">
        <v>31</v>
      </c>
      <c r="D289" s="2" t="s">
        <v>17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 ht="15" customHeight="1">
      <c r="A290" s="2" t="s">
        <v>98</v>
      </c>
      <c r="B290" s="2" t="s">
        <v>15</v>
      </c>
      <c r="C290" s="2" t="s">
        <v>16</v>
      </c>
      <c r="D290" s="2" t="s">
        <v>17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 ht="15" customHeight="1">
      <c r="A291" s="2" t="s">
        <v>98</v>
      </c>
      <c r="B291" s="2" t="s">
        <v>18</v>
      </c>
      <c r="C291" s="2" t="s">
        <v>16</v>
      </c>
      <c r="D291" s="2" t="s">
        <v>17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 ht="15" customHeight="1">
      <c r="A292" s="2" t="s">
        <v>98</v>
      </c>
      <c r="B292" s="2" t="s">
        <v>19</v>
      </c>
      <c r="C292" s="2" t="s">
        <v>16</v>
      </c>
      <c r="D292" s="2" t="s">
        <v>17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 ht="15" customHeight="1">
      <c r="A293" s="2" t="s">
        <v>98</v>
      </c>
      <c r="B293" s="2" t="s">
        <v>20</v>
      </c>
      <c r="C293" s="2" t="s">
        <v>16</v>
      </c>
      <c r="D293" s="2" t="s">
        <v>17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 ht="15" customHeight="1">
      <c r="A294" s="2" t="s">
        <v>99</v>
      </c>
      <c r="B294" s="2" t="s">
        <v>15</v>
      </c>
      <c r="C294" s="2" t="s">
        <v>31</v>
      </c>
      <c r="D294" s="2" t="s">
        <v>22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 ht="15" customHeight="1">
      <c r="A295" s="2" t="s">
        <v>99</v>
      </c>
      <c r="B295" s="2" t="s">
        <v>18</v>
      </c>
      <c r="C295" s="2" t="s">
        <v>31</v>
      </c>
      <c r="D295" s="2" t="s">
        <v>22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 ht="15" customHeight="1">
      <c r="A296" s="2" t="s">
        <v>99</v>
      </c>
      <c r="B296" s="2" t="s">
        <v>19</v>
      </c>
      <c r="C296" s="2" t="s">
        <v>31</v>
      </c>
      <c r="D296" s="2" t="s">
        <v>22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 ht="15" customHeight="1">
      <c r="A297" s="2" t="s">
        <v>99</v>
      </c>
      <c r="B297" s="2" t="s">
        <v>20</v>
      </c>
      <c r="C297" s="2" t="s">
        <v>31</v>
      </c>
      <c r="D297" s="2" t="s">
        <v>22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 ht="15" customHeight="1">
      <c r="A298" s="2" t="s">
        <v>100</v>
      </c>
      <c r="B298" s="2" t="s">
        <v>15</v>
      </c>
      <c r="C298" s="2" t="s">
        <v>31</v>
      </c>
      <c r="D298" s="2" t="s">
        <v>22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 ht="15" customHeight="1">
      <c r="A299" s="2" t="s">
        <v>100</v>
      </c>
      <c r="B299" s="2" t="s">
        <v>18</v>
      </c>
      <c r="C299" s="2" t="s">
        <v>31</v>
      </c>
      <c r="D299" s="2" t="s">
        <v>22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 ht="15" customHeight="1">
      <c r="A300" s="2" t="s">
        <v>100</v>
      </c>
      <c r="B300" s="2" t="s">
        <v>19</v>
      </c>
      <c r="C300" s="2" t="s">
        <v>31</v>
      </c>
      <c r="D300" s="2" t="s">
        <v>22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 ht="15" customHeight="1">
      <c r="A301" s="2" t="s">
        <v>100</v>
      </c>
      <c r="B301" s="2" t="s">
        <v>20</v>
      </c>
      <c r="C301" s="2" t="s">
        <v>31</v>
      </c>
      <c r="D301" s="2" t="s">
        <v>22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 ht="15" customHeight="1">
      <c r="A302" s="2" t="s">
        <v>101</v>
      </c>
      <c r="B302" s="2" t="s">
        <v>15</v>
      </c>
      <c r="C302" s="2" t="s">
        <v>24</v>
      </c>
      <c r="D302" s="2" t="s">
        <v>32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 ht="15" customHeight="1">
      <c r="A303" s="2" t="s">
        <v>101</v>
      </c>
      <c r="B303" s="2" t="s">
        <v>18</v>
      </c>
      <c r="C303" s="2" t="s">
        <v>24</v>
      </c>
      <c r="D303" s="2" t="s">
        <v>32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 ht="15" customHeight="1">
      <c r="A304" s="2" t="s">
        <v>101</v>
      </c>
      <c r="B304" s="2" t="s">
        <v>19</v>
      </c>
      <c r="C304" s="2" t="s">
        <v>24</v>
      </c>
      <c r="D304" s="2" t="s">
        <v>32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 ht="15" customHeight="1">
      <c r="A305" s="2" t="s">
        <v>101</v>
      </c>
      <c r="B305" s="2" t="s">
        <v>20</v>
      </c>
      <c r="C305" s="2" t="s">
        <v>24</v>
      </c>
      <c r="D305" s="2" t="s">
        <v>32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 ht="15" customHeight="1">
      <c r="A306" s="2" t="s">
        <v>102</v>
      </c>
      <c r="B306" s="2" t="s">
        <v>15</v>
      </c>
      <c r="C306" s="2" t="s">
        <v>28</v>
      </c>
      <c r="D306" s="2" t="s">
        <v>17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 ht="15" customHeight="1">
      <c r="A307" s="2" t="s">
        <v>102</v>
      </c>
      <c r="B307" s="2" t="s">
        <v>18</v>
      </c>
      <c r="C307" s="2" t="s">
        <v>28</v>
      </c>
      <c r="D307" s="2" t="s">
        <v>17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 ht="15" customHeight="1">
      <c r="A308" s="2" t="s">
        <v>102</v>
      </c>
      <c r="B308" s="2" t="s">
        <v>19</v>
      </c>
      <c r="C308" s="2" t="s">
        <v>28</v>
      </c>
      <c r="D308" s="2" t="s">
        <v>17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 ht="15" customHeight="1">
      <c r="A309" s="2" t="s">
        <v>102</v>
      </c>
      <c r="B309" s="2" t="s">
        <v>20</v>
      </c>
      <c r="C309" s="2" t="s">
        <v>28</v>
      </c>
      <c r="D309" s="2" t="s">
        <v>17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 ht="15" customHeight="1">
      <c r="A310" s="2" t="s">
        <v>103</v>
      </c>
      <c r="B310" s="2" t="s">
        <v>15</v>
      </c>
      <c r="C310" s="2" t="s">
        <v>28</v>
      </c>
      <c r="D310" s="2" t="s">
        <v>22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 ht="15" customHeight="1">
      <c r="A311" s="2" t="s">
        <v>103</v>
      </c>
      <c r="B311" s="2" t="s">
        <v>18</v>
      </c>
      <c r="C311" s="2" t="s">
        <v>28</v>
      </c>
      <c r="D311" s="2" t="s">
        <v>22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 ht="15" customHeight="1">
      <c r="A312" s="2" t="s">
        <v>103</v>
      </c>
      <c r="B312" s="2" t="s">
        <v>19</v>
      </c>
      <c r="C312" s="2" t="s">
        <v>28</v>
      </c>
      <c r="D312" s="2" t="s">
        <v>22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 ht="15" customHeight="1">
      <c r="A313" s="2" t="s">
        <v>103</v>
      </c>
      <c r="B313" s="2" t="s">
        <v>20</v>
      </c>
      <c r="C313" s="2" t="s">
        <v>28</v>
      </c>
      <c r="D313" s="2" t="s">
        <v>22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</row>
    <row r="314" spans="1:14" ht="15" customHeight="1">
      <c r="A314" s="2" t="s">
        <v>104</v>
      </c>
      <c r="B314" s="2" t="s">
        <v>15</v>
      </c>
      <c r="C314" s="2" t="s">
        <v>24</v>
      </c>
      <c r="D314" s="2" t="s">
        <v>17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 ht="15" customHeight="1">
      <c r="A315" s="2" t="s">
        <v>104</v>
      </c>
      <c r="B315" s="2" t="s">
        <v>18</v>
      </c>
      <c r="C315" s="2" t="s">
        <v>24</v>
      </c>
      <c r="D315" s="2" t="s">
        <v>17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</row>
    <row r="316" spans="1:14" ht="15" customHeight="1">
      <c r="A316" s="2" t="s">
        <v>104</v>
      </c>
      <c r="B316" s="2" t="s">
        <v>19</v>
      </c>
      <c r="C316" s="2" t="s">
        <v>24</v>
      </c>
      <c r="D316" s="2" t="s">
        <v>17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 ht="15" customHeight="1">
      <c r="A317" s="2" t="s">
        <v>104</v>
      </c>
      <c r="B317" s="2" t="s">
        <v>20</v>
      </c>
      <c r="C317" s="2" t="s">
        <v>24</v>
      </c>
      <c r="D317" s="2" t="s">
        <v>17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 ht="15" customHeight="1">
      <c r="A318" s="2" t="s">
        <v>105</v>
      </c>
      <c r="B318" s="2" t="s">
        <v>15</v>
      </c>
      <c r="C318" s="2" t="s">
        <v>16</v>
      </c>
      <c r="D318" s="2" t="s">
        <v>17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 ht="15" customHeight="1">
      <c r="A319" s="2" t="s">
        <v>105</v>
      </c>
      <c r="B319" s="2" t="s">
        <v>18</v>
      </c>
      <c r="C319" s="2" t="s">
        <v>16</v>
      </c>
      <c r="D319" s="2" t="s">
        <v>17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 ht="15" customHeight="1">
      <c r="A320" s="2" t="s">
        <v>105</v>
      </c>
      <c r="B320" s="2" t="s">
        <v>19</v>
      </c>
      <c r="C320" s="2" t="s">
        <v>16</v>
      </c>
      <c r="D320" s="2" t="s">
        <v>17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 ht="15" customHeight="1">
      <c r="A321" s="2" t="s">
        <v>105</v>
      </c>
      <c r="B321" s="2" t="s">
        <v>20</v>
      </c>
      <c r="C321" s="2" t="s">
        <v>16</v>
      </c>
      <c r="D321" s="2" t="s">
        <v>17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sqref="A1:XFD1048576"/>
    </sheetView>
  </sheetViews>
  <sheetFormatPr defaultRowHeight="14.25"/>
  <cols>
    <col min="1" max="1" width="21.25" bestFit="1" customWidth="1"/>
    <col min="2" max="2" width="59.875" bestFit="1" customWidth="1"/>
  </cols>
  <sheetData>
    <row r="1" spans="1:2" ht="15" customHeight="1">
      <c r="A1" s="1" t="s">
        <v>106</v>
      </c>
      <c r="B1" s="1" t="s">
        <v>107</v>
      </c>
    </row>
    <row r="2" spans="1:2" ht="15" customHeight="1">
      <c r="A2" s="2" t="s">
        <v>0</v>
      </c>
      <c r="B2" s="2" t="s">
        <v>108</v>
      </c>
    </row>
    <row r="3" spans="1:2" ht="15" customHeight="1">
      <c r="A3" s="2" t="s">
        <v>1</v>
      </c>
      <c r="B3" s="2" t="s">
        <v>109</v>
      </c>
    </row>
    <row r="4" spans="1:2" ht="15" customHeight="1">
      <c r="A4" s="2" t="s">
        <v>2</v>
      </c>
      <c r="B4" s="2" t="s">
        <v>110</v>
      </c>
    </row>
    <row r="5" spans="1:2" ht="15" customHeight="1">
      <c r="A5" s="2" t="s">
        <v>3</v>
      </c>
      <c r="B5" s="2" t="s">
        <v>111</v>
      </c>
    </row>
    <row r="6" spans="1:2" ht="15" customHeight="1">
      <c r="A6" s="2" t="s">
        <v>4</v>
      </c>
      <c r="B6" s="2" t="s">
        <v>112</v>
      </c>
    </row>
    <row r="7" spans="1:2" ht="15" customHeight="1">
      <c r="A7" s="2" t="s">
        <v>5</v>
      </c>
      <c r="B7" s="2" t="s">
        <v>113</v>
      </c>
    </row>
    <row r="8" spans="1:2" ht="15" customHeight="1">
      <c r="A8" s="2" t="s">
        <v>6</v>
      </c>
      <c r="B8" s="2" t="s">
        <v>114</v>
      </c>
    </row>
    <row r="9" spans="1:2" ht="15" customHeight="1">
      <c r="A9" s="2" t="s">
        <v>7</v>
      </c>
      <c r="B9" s="2" t="s">
        <v>115</v>
      </c>
    </row>
    <row r="10" spans="1:2" ht="15" customHeight="1">
      <c r="A10" s="2" t="s">
        <v>8</v>
      </c>
      <c r="B10" s="2" t="s">
        <v>116</v>
      </c>
    </row>
    <row r="11" spans="1:2" ht="15" customHeight="1">
      <c r="A11" s="2" t="s">
        <v>9</v>
      </c>
      <c r="B11" s="2" t="s">
        <v>117</v>
      </c>
    </row>
    <row r="12" spans="1:2" ht="15" customHeight="1">
      <c r="A12" s="2" t="s">
        <v>10</v>
      </c>
      <c r="B12" s="2" t="s">
        <v>118</v>
      </c>
    </row>
    <row r="13" spans="1:2" ht="15" customHeight="1">
      <c r="A13" s="2" t="s">
        <v>11</v>
      </c>
      <c r="B13" s="2" t="s">
        <v>119</v>
      </c>
    </row>
    <row r="14" spans="1:2" ht="15" customHeight="1">
      <c r="A14" s="2" t="s">
        <v>12</v>
      </c>
      <c r="B14" s="2" t="s">
        <v>120</v>
      </c>
    </row>
    <row r="15" spans="1:2" ht="15" customHeight="1">
      <c r="A15" s="2" t="s">
        <v>13</v>
      </c>
      <c r="B15" s="2" t="s">
        <v>121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21"/>
  <sheetViews>
    <sheetView workbookViewId="0">
      <selection sqref="A1:XFD1048576"/>
    </sheetView>
  </sheetViews>
  <sheetFormatPr defaultRowHeight="14.25"/>
  <cols>
    <col min="1" max="1" width="9.375" bestFit="1" customWidth="1"/>
    <col min="2" max="2" width="9.25" bestFit="1" customWidth="1"/>
    <col min="3" max="3" width="10.125" bestFit="1" customWidth="1"/>
    <col min="4" max="4" width="6.625" bestFit="1" customWidth="1"/>
    <col min="5" max="5" width="10.25" bestFit="1" customWidth="1"/>
    <col min="6" max="6" width="16.25" bestFit="1" customWidth="1"/>
    <col min="7" max="7" width="7" bestFit="1" customWidth="1"/>
    <col min="8" max="8" width="16.625" bestFit="1" customWidth="1"/>
    <col min="9" max="9" width="10.75" bestFit="1" customWidth="1"/>
    <col min="10" max="10" width="23.625" bestFit="1" customWidth="1"/>
    <col min="11" max="11" width="22.75" bestFit="1" customWidth="1"/>
    <col min="12" max="12" width="11.375" bestFit="1" customWidth="1"/>
    <col min="13" max="13" width="15.375" bestFit="1" customWidth="1"/>
    <col min="14" max="14" width="13.5" bestFit="1" customWidth="1"/>
    <col min="15" max="15" width="13.625" bestFit="1" customWidth="1"/>
    <col min="16" max="16" width="27.75" bestFit="1" customWidth="1"/>
    <col min="17" max="17" width="31.5" bestFit="1" customWidth="1"/>
    <col min="18" max="18" width="44.125" bestFit="1" customWidth="1"/>
  </cols>
  <sheetData>
    <row r="1" spans="1:18" ht="15" customHeight="1">
      <c r="A1" s="1" t="s">
        <v>122</v>
      </c>
      <c r="B1" s="1" t="s">
        <v>0</v>
      </c>
      <c r="C1" s="11" t="s">
        <v>1</v>
      </c>
      <c r="D1" s="1" t="s">
        <v>2</v>
      </c>
      <c r="E1" s="1" t="s">
        <v>3</v>
      </c>
      <c r="F1" s="3" t="s">
        <v>4</v>
      </c>
      <c r="G1" s="1" t="s">
        <v>5</v>
      </c>
      <c r="H1" s="5" t="s">
        <v>6</v>
      </c>
      <c r="I1" s="1" t="s">
        <v>7</v>
      </c>
      <c r="J1" s="6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1" t="s">
        <v>123</v>
      </c>
      <c r="Q1" s="1" t="s">
        <v>124</v>
      </c>
      <c r="R1" s="1" t="s">
        <v>125</v>
      </c>
    </row>
    <row r="2" spans="1:18" ht="15" customHeight="1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70389.11</v>
      </c>
      <c r="G2" s="2">
        <v>8302</v>
      </c>
      <c r="H2" s="2">
        <v>4.2000000000000003E-2</v>
      </c>
      <c r="I2" s="2">
        <v>17</v>
      </c>
      <c r="J2" s="2">
        <v>75</v>
      </c>
      <c r="K2" s="2">
        <v>5.28</v>
      </c>
      <c r="L2" s="2">
        <v>1</v>
      </c>
      <c r="M2" s="2">
        <v>3.1</v>
      </c>
      <c r="N2" s="2">
        <v>658832.62</v>
      </c>
      <c r="O2" s="2">
        <v>84349.93</v>
      </c>
      <c r="P2" s="2">
        <v>0</v>
      </c>
      <c r="Q2" s="2">
        <v>0</v>
      </c>
      <c r="R2" s="2" t="s">
        <v>126</v>
      </c>
    </row>
    <row r="3" spans="1:18" ht="15" customHeight="1">
      <c r="A3" s="2">
        <v>2</v>
      </c>
      <c r="B3" s="2" t="s">
        <v>14</v>
      </c>
      <c r="C3" s="2" t="s">
        <v>18</v>
      </c>
      <c r="D3" s="2" t="s">
        <v>16</v>
      </c>
      <c r="E3" s="2" t="s">
        <v>17</v>
      </c>
      <c r="F3" s="2">
        <v>43827.89</v>
      </c>
      <c r="G3" s="2">
        <v>8487</v>
      </c>
      <c r="H3" s="2">
        <v>0.16800000000000001</v>
      </c>
      <c r="I3" s="2">
        <v>23</v>
      </c>
      <c r="J3" s="2">
        <v>84.4</v>
      </c>
      <c r="K3" s="2">
        <v>4.3099999999999996</v>
      </c>
      <c r="L3" s="2">
        <v>0</v>
      </c>
      <c r="M3" s="2">
        <v>2.8</v>
      </c>
      <c r="N3" s="2">
        <v>634436</v>
      </c>
      <c r="O3" s="2">
        <v>106130.54</v>
      </c>
      <c r="P3" s="2">
        <v>0</v>
      </c>
      <c r="Q3" s="2">
        <v>0</v>
      </c>
      <c r="R3" s="2" t="s">
        <v>126</v>
      </c>
    </row>
    <row r="4" spans="1:18" ht="15" customHeight="1">
      <c r="A4" s="2">
        <v>3</v>
      </c>
      <c r="B4" s="2" t="s">
        <v>14</v>
      </c>
      <c r="C4" s="2" t="s">
        <v>19</v>
      </c>
      <c r="D4" s="2" t="s">
        <v>16</v>
      </c>
      <c r="E4" s="2" t="s">
        <v>17</v>
      </c>
      <c r="F4" s="2">
        <v>59921.75</v>
      </c>
      <c r="G4" s="2">
        <v>9113</v>
      </c>
      <c r="H4" s="2">
        <v>0.13300000000000001</v>
      </c>
      <c r="I4" s="2">
        <v>20</v>
      </c>
      <c r="J4" s="2">
        <v>88</v>
      </c>
      <c r="K4" s="2">
        <v>12</v>
      </c>
      <c r="L4" s="2">
        <v>0</v>
      </c>
      <c r="M4" s="2">
        <v>3.2</v>
      </c>
      <c r="N4" s="2">
        <v>678722.06</v>
      </c>
      <c r="O4" s="2">
        <v>101883.86</v>
      </c>
      <c r="P4" s="2">
        <v>0</v>
      </c>
      <c r="Q4" s="2">
        <v>0</v>
      </c>
      <c r="R4" s="2" t="s">
        <v>126</v>
      </c>
    </row>
    <row r="5" spans="1:18" ht="15" customHeight="1">
      <c r="A5" s="2">
        <v>4</v>
      </c>
      <c r="B5" s="2" t="s">
        <v>14</v>
      </c>
      <c r="C5" s="2" t="s">
        <v>20</v>
      </c>
      <c r="D5" s="2" t="s">
        <v>16</v>
      </c>
      <c r="E5" s="2" t="s">
        <v>17</v>
      </c>
      <c r="F5" s="2">
        <v>56856.63</v>
      </c>
      <c r="G5" s="2">
        <v>9431</v>
      </c>
      <c r="H5" s="2">
        <v>0.14199999999999999</v>
      </c>
      <c r="I5" s="2">
        <v>23</v>
      </c>
      <c r="J5" s="2">
        <v>86.9</v>
      </c>
      <c r="K5" s="2">
        <v>4.97</v>
      </c>
      <c r="L5" s="2">
        <v>0</v>
      </c>
      <c r="M5" s="2">
        <v>3.4</v>
      </c>
      <c r="N5" s="2">
        <v>658920.30000000005</v>
      </c>
      <c r="O5" s="2">
        <v>97910.37</v>
      </c>
      <c r="P5" s="2">
        <v>0</v>
      </c>
      <c r="Q5" s="2">
        <v>0</v>
      </c>
      <c r="R5" s="2" t="s">
        <v>126</v>
      </c>
    </row>
    <row r="6" spans="1:18" ht="15" customHeight="1">
      <c r="A6" s="2">
        <v>5</v>
      </c>
      <c r="B6" s="2" t="s">
        <v>21</v>
      </c>
      <c r="C6" s="2" t="s">
        <v>15</v>
      </c>
      <c r="D6" s="2" t="s">
        <v>16</v>
      </c>
      <c r="E6" s="2" t="s">
        <v>22</v>
      </c>
      <c r="F6" s="2">
        <v>48412.639999999999</v>
      </c>
      <c r="G6" s="2">
        <v>9545</v>
      </c>
      <c r="H6" s="2">
        <v>0.23100000000000001</v>
      </c>
      <c r="I6" s="2">
        <v>21</v>
      </c>
      <c r="J6" s="2">
        <v>97.6</v>
      </c>
      <c r="K6" s="2">
        <v>6.94</v>
      </c>
      <c r="L6" s="2">
        <v>1</v>
      </c>
      <c r="M6" s="2">
        <v>4.2</v>
      </c>
      <c r="N6" s="2">
        <v>741341.44</v>
      </c>
      <c r="O6" s="2">
        <v>119208.17</v>
      </c>
      <c r="P6" s="2">
        <v>0</v>
      </c>
      <c r="Q6" s="2">
        <v>0</v>
      </c>
      <c r="R6" s="2" t="s">
        <v>126</v>
      </c>
    </row>
    <row r="7" spans="1:18" ht="15" customHeight="1">
      <c r="A7" s="2">
        <v>6</v>
      </c>
      <c r="B7" s="2" t="s">
        <v>21</v>
      </c>
      <c r="C7" s="2" t="s">
        <v>18</v>
      </c>
      <c r="D7" s="2" t="s">
        <v>16</v>
      </c>
      <c r="E7" s="2" t="s">
        <v>22</v>
      </c>
      <c r="F7" s="2">
        <v>64811.21</v>
      </c>
      <c r="G7" s="2">
        <v>9792</v>
      </c>
      <c r="H7" s="2">
        <v>0.112</v>
      </c>
      <c r="I7" s="2">
        <v>20</v>
      </c>
      <c r="J7" s="2">
        <v>84.2</v>
      </c>
      <c r="K7" s="2">
        <v>2.88</v>
      </c>
      <c r="L7" s="2">
        <v>0</v>
      </c>
      <c r="M7" s="2">
        <v>4.2</v>
      </c>
      <c r="N7" s="2">
        <v>761835.34</v>
      </c>
      <c r="O7" s="2">
        <v>149602.23000000001</v>
      </c>
      <c r="P7" s="2">
        <v>0</v>
      </c>
      <c r="Q7" s="2">
        <v>0</v>
      </c>
      <c r="R7" s="2" t="s">
        <v>126</v>
      </c>
    </row>
    <row r="8" spans="1:18" ht="15" customHeight="1">
      <c r="A8" s="2">
        <v>7</v>
      </c>
      <c r="B8" s="2" t="s">
        <v>21</v>
      </c>
      <c r="C8" s="2" t="s">
        <v>19</v>
      </c>
      <c r="D8" s="2" t="s">
        <v>16</v>
      </c>
      <c r="E8" s="2" t="s">
        <v>22</v>
      </c>
      <c r="F8" s="2">
        <v>46213.45</v>
      </c>
      <c r="G8" s="2">
        <v>10616</v>
      </c>
      <c r="H8" s="2">
        <v>0.122</v>
      </c>
      <c r="I8" s="2">
        <v>22</v>
      </c>
      <c r="J8" s="2">
        <v>85.2</v>
      </c>
      <c r="K8" s="2">
        <v>0.2</v>
      </c>
      <c r="L8" s="2">
        <v>1</v>
      </c>
      <c r="M8" s="2">
        <v>4.0999999999999996</v>
      </c>
      <c r="N8" s="2">
        <v>806615.54</v>
      </c>
      <c r="O8" s="2">
        <v>131364.62</v>
      </c>
      <c r="P8" s="2">
        <v>0</v>
      </c>
      <c r="Q8" s="2">
        <v>0</v>
      </c>
      <c r="R8" s="2" t="s">
        <v>126</v>
      </c>
    </row>
    <row r="9" spans="1:18" ht="15" customHeight="1">
      <c r="A9" s="2">
        <v>8</v>
      </c>
      <c r="B9" s="2" t="s">
        <v>21</v>
      </c>
      <c r="C9" s="2" t="s">
        <v>20</v>
      </c>
      <c r="D9" s="2" t="s">
        <v>16</v>
      </c>
      <c r="E9" s="2" t="s">
        <v>22</v>
      </c>
      <c r="F9" s="2">
        <v>68148.52</v>
      </c>
      <c r="G9" s="2">
        <v>8567</v>
      </c>
      <c r="H9" s="2">
        <v>0.127</v>
      </c>
      <c r="I9" s="2">
        <v>23</v>
      </c>
      <c r="J9" s="2">
        <v>95.6</v>
      </c>
      <c r="K9" s="2">
        <v>0.8</v>
      </c>
      <c r="L9" s="2">
        <v>0</v>
      </c>
      <c r="M9" s="2">
        <v>3.9</v>
      </c>
      <c r="N9" s="2">
        <v>850164.26</v>
      </c>
      <c r="O9" s="2">
        <v>149262.75</v>
      </c>
      <c r="P9" s="2">
        <v>0</v>
      </c>
      <c r="Q9" s="2">
        <v>0</v>
      </c>
      <c r="R9" s="2" t="s">
        <v>126</v>
      </c>
    </row>
    <row r="10" spans="1:18" ht="15" customHeight="1">
      <c r="A10" s="2">
        <v>9</v>
      </c>
      <c r="B10" s="2" t="s">
        <v>23</v>
      </c>
      <c r="C10" s="2" t="s">
        <v>15</v>
      </c>
      <c r="D10" s="2" t="s">
        <v>24</v>
      </c>
      <c r="E10" s="2" t="s">
        <v>25</v>
      </c>
      <c r="F10" s="2">
        <v>71838.86</v>
      </c>
      <c r="G10" s="2">
        <v>10979</v>
      </c>
      <c r="H10" s="2">
        <v>0.215</v>
      </c>
      <c r="I10" s="2">
        <v>26</v>
      </c>
      <c r="J10" s="2">
        <v>88.6</v>
      </c>
      <c r="K10" s="2">
        <v>7.7</v>
      </c>
      <c r="L10" s="2">
        <v>1</v>
      </c>
      <c r="M10" s="2">
        <v>3.8</v>
      </c>
      <c r="N10" s="2">
        <v>930581.7</v>
      </c>
      <c r="O10" s="2">
        <v>136207.98000000001</v>
      </c>
      <c r="P10" s="2">
        <v>0</v>
      </c>
      <c r="Q10" s="2">
        <v>0</v>
      </c>
      <c r="R10" s="2" t="s">
        <v>126</v>
      </c>
    </row>
    <row r="11" spans="1:18" ht="15" customHeight="1">
      <c r="A11" s="2">
        <v>10</v>
      </c>
      <c r="B11" s="2" t="s">
        <v>23</v>
      </c>
      <c r="C11" s="2" t="s">
        <v>18</v>
      </c>
      <c r="D11" s="2" t="s">
        <v>24</v>
      </c>
      <c r="E11" s="2" t="s">
        <v>25</v>
      </c>
      <c r="F11" s="2">
        <v>68133.440000000002</v>
      </c>
      <c r="G11" s="2">
        <v>9459</v>
      </c>
      <c r="H11" s="2">
        <v>0.22</v>
      </c>
      <c r="I11" s="2">
        <v>21</v>
      </c>
      <c r="J11" s="2">
        <v>85</v>
      </c>
      <c r="K11" s="2">
        <v>1.91</v>
      </c>
      <c r="L11" s="2">
        <v>0</v>
      </c>
      <c r="M11" s="2">
        <v>4.2</v>
      </c>
      <c r="N11" s="2">
        <v>779010.94</v>
      </c>
      <c r="O11" s="2">
        <v>106328.09</v>
      </c>
      <c r="P11" s="2">
        <v>0</v>
      </c>
      <c r="Q11" s="2">
        <v>0</v>
      </c>
      <c r="R11" s="2" t="s">
        <v>126</v>
      </c>
    </row>
    <row r="12" spans="1:18" ht="15" customHeight="1">
      <c r="A12" s="2">
        <v>11</v>
      </c>
      <c r="B12" s="2" t="s">
        <v>23</v>
      </c>
      <c r="C12" s="2" t="s">
        <v>19</v>
      </c>
      <c r="D12" s="2" t="s">
        <v>24</v>
      </c>
      <c r="E12" s="2" t="s">
        <v>25</v>
      </c>
      <c r="F12" s="2">
        <v>34285.21</v>
      </c>
      <c r="G12" s="2">
        <v>9172</v>
      </c>
      <c r="H12" s="2">
        <v>0.21299999999999999</v>
      </c>
      <c r="I12" s="2">
        <v>22</v>
      </c>
      <c r="J12" s="2">
        <v>88.3</v>
      </c>
      <c r="K12" s="2">
        <v>10.46</v>
      </c>
      <c r="L12" s="2">
        <v>1</v>
      </c>
      <c r="M12" s="2">
        <v>3.8</v>
      </c>
      <c r="N12" s="2">
        <v>723060.76</v>
      </c>
      <c r="O12" s="2">
        <v>123131.24</v>
      </c>
      <c r="P12" s="2">
        <v>0</v>
      </c>
      <c r="Q12" s="2">
        <v>0</v>
      </c>
      <c r="R12" s="2" t="s">
        <v>126</v>
      </c>
    </row>
    <row r="13" spans="1:18" ht="15" customHeight="1">
      <c r="A13" s="2">
        <v>12</v>
      </c>
      <c r="B13" s="2" t="s">
        <v>23</v>
      </c>
      <c r="C13" s="2" t="s">
        <v>20</v>
      </c>
      <c r="D13" s="2" t="s">
        <v>24</v>
      </c>
      <c r="E13" s="2" t="s">
        <v>25</v>
      </c>
      <c r="F13" s="2">
        <v>67979.88</v>
      </c>
      <c r="G13" s="2">
        <v>11230</v>
      </c>
      <c r="H13" s="2">
        <v>2E-3</v>
      </c>
      <c r="I13" s="2">
        <v>28</v>
      </c>
      <c r="J13" s="2">
        <v>85.3</v>
      </c>
      <c r="K13" s="2">
        <v>7.16</v>
      </c>
      <c r="L13" s="2">
        <v>0</v>
      </c>
      <c r="M13" s="2">
        <v>3.8</v>
      </c>
      <c r="N13" s="2">
        <v>910791.94</v>
      </c>
      <c r="O13" s="2">
        <v>158891.28</v>
      </c>
      <c r="P13" s="2">
        <v>0</v>
      </c>
      <c r="Q13" s="2">
        <v>0</v>
      </c>
      <c r="R13" s="2" t="s">
        <v>126</v>
      </c>
    </row>
    <row r="14" spans="1:18" ht="15" customHeight="1">
      <c r="A14" s="2">
        <v>13</v>
      </c>
      <c r="B14" s="2" t="s">
        <v>26</v>
      </c>
      <c r="C14" s="2" t="s">
        <v>15</v>
      </c>
      <c r="D14" s="2" t="s">
        <v>16</v>
      </c>
      <c r="E14" s="2" t="s">
        <v>17</v>
      </c>
      <c r="F14" s="2">
        <v>71828.259999999995</v>
      </c>
      <c r="G14" s="2">
        <v>12775</v>
      </c>
      <c r="H14" s="2">
        <v>0.11600000000000001</v>
      </c>
      <c r="I14" s="2">
        <v>30</v>
      </c>
      <c r="J14" s="2">
        <v>81.7</v>
      </c>
      <c r="K14" s="2">
        <v>4.24</v>
      </c>
      <c r="L14" s="2">
        <v>1</v>
      </c>
      <c r="M14" s="2">
        <v>4.2</v>
      </c>
      <c r="N14" s="2">
        <v>922168.6</v>
      </c>
      <c r="O14" s="2">
        <v>107494.53</v>
      </c>
      <c r="P14" s="2">
        <v>0</v>
      </c>
      <c r="Q14" s="2">
        <v>0</v>
      </c>
      <c r="R14" s="2" t="s">
        <v>126</v>
      </c>
    </row>
    <row r="15" spans="1:18" ht="15" customHeight="1">
      <c r="A15" s="2">
        <v>14</v>
      </c>
      <c r="B15" s="2" t="s">
        <v>26</v>
      </c>
      <c r="C15" s="2" t="s">
        <v>18</v>
      </c>
      <c r="D15" s="2" t="s">
        <v>16</v>
      </c>
      <c r="E15" s="2" t="s">
        <v>17</v>
      </c>
      <c r="F15" s="2">
        <v>55716.82</v>
      </c>
      <c r="G15" s="2">
        <v>10054</v>
      </c>
      <c r="H15" s="2">
        <v>0.14599999999999999</v>
      </c>
      <c r="I15" s="2">
        <v>24</v>
      </c>
      <c r="J15" s="2">
        <v>84.9</v>
      </c>
      <c r="K15" s="2">
        <v>1.06</v>
      </c>
      <c r="L15" s="2">
        <v>0</v>
      </c>
      <c r="M15" s="2">
        <v>4.3</v>
      </c>
      <c r="N15" s="2">
        <v>726606.28</v>
      </c>
      <c r="O15" s="2">
        <v>122729.29</v>
      </c>
      <c r="P15" s="2">
        <v>0</v>
      </c>
      <c r="Q15" s="2">
        <v>0</v>
      </c>
      <c r="R15" s="2" t="s">
        <v>126</v>
      </c>
    </row>
    <row r="16" spans="1:18" ht="15" customHeight="1">
      <c r="A16" s="2">
        <v>15</v>
      </c>
      <c r="B16" s="2" t="s">
        <v>26</v>
      </c>
      <c r="C16" s="2" t="s">
        <v>19</v>
      </c>
      <c r="D16" s="2" t="s">
        <v>16</v>
      </c>
      <c r="E16" s="2" t="s">
        <v>17</v>
      </c>
      <c r="F16" s="2">
        <v>59909.51</v>
      </c>
      <c r="G16" s="2">
        <v>8895</v>
      </c>
      <c r="H16" s="2">
        <v>0.22800000000000001</v>
      </c>
      <c r="I16" s="2">
        <v>23</v>
      </c>
      <c r="J16" s="2">
        <v>88.8</v>
      </c>
      <c r="K16" s="2">
        <v>0.27</v>
      </c>
      <c r="L16" s="2">
        <v>0</v>
      </c>
      <c r="M16" s="2">
        <v>4.3</v>
      </c>
      <c r="N16" s="2">
        <v>746501.09</v>
      </c>
      <c r="O16" s="2">
        <v>136816.72</v>
      </c>
      <c r="P16" s="2">
        <v>0</v>
      </c>
      <c r="Q16" s="2">
        <v>0</v>
      </c>
      <c r="R16" s="2" t="s">
        <v>126</v>
      </c>
    </row>
    <row r="17" spans="1:18" ht="15" customHeight="1">
      <c r="A17" s="2">
        <v>16</v>
      </c>
      <c r="B17" s="2" t="s">
        <v>26</v>
      </c>
      <c r="C17" s="2" t="s">
        <v>20</v>
      </c>
      <c r="D17" s="2" t="s">
        <v>16</v>
      </c>
      <c r="E17" s="2" t="s">
        <v>17</v>
      </c>
      <c r="F17" s="2">
        <v>75305.710000000006</v>
      </c>
      <c r="G17" s="2">
        <v>10940</v>
      </c>
      <c r="H17" s="2">
        <v>6.0000000000000001E-3</v>
      </c>
      <c r="I17" s="2">
        <v>26</v>
      </c>
      <c r="J17" s="2">
        <v>76.5</v>
      </c>
      <c r="K17" s="2">
        <v>1.32</v>
      </c>
      <c r="L17" s="2">
        <v>0</v>
      </c>
      <c r="M17" s="2">
        <v>4.5</v>
      </c>
      <c r="N17" s="2">
        <v>834017.02</v>
      </c>
      <c r="O17" s="2">
        <v>114745.03</v>
      </c>
      <c r="P17" s="2">
        <v>0</v>
      </c>
      <c r="Q17" s="2">
        <v>0</v>
      </c>
      <c r="R17" s="2" t="s">
        <v>126</v>
      </c>
    </row>
    <row r="18" spans="1:18" ht="15" customHeight="1">
      <c r="A18" s="2">
        <v>17</v>
      </c>
      <c r="B18" s="2" t="s">
        <v>27</v>
      </c>
      <c r="C18" s="2" t="s">
        <v>15</v>
      </c>
      <c r="D18" s="2" t="s">
        <v>28</v>
      </c>
      <c r="E18" s="2" t="s">
        <v>17</v>
      </c>
      <c r="F18" s="2">
        <v>48804.22</v>
      </c>
      <c r="G18" s="2">
        <v>7057</v>
      </c>
      <c r="H18" s="2">
        <v>5.0000000000000001E-3</v>
      </c>
      <c r="I18" s="2">
        <v>15</v>
      </c>
      <c r="J18" s="2">
        <v>87.7</v>
      </c>
      <c r="K18" s="2">
        <v>1.22</v>
      </c>
      <c r="L18" s="2">
        <v>0</v>
      </c>
      <c r="M18" s="2">
        <v>3.7</v>
      </c>
      <c r="N18" s="2">
        <v>666152.52</v>
      </c>
      <c r="O18" s="2">
        <v>107490.58</v>
      </c>
      <c r="P18" s="2">
        <v>0</v>
      </c>
      <c r="Q18" s="2">
        <v>0</v>
      </c>
      <c r="R18" s="2" t="s">
        <v>126</v>
      </c>
    </row>
    <row r="19" spans="1:18" ht="15" customHeight="1">
      <c r="A19" s="2">
        <v>18</v>
      </c>
      <c r="B19" s="2" t="s">
        <v>27</v>
      </c>
      <c r="C19" s="2" t="s">
        <v>18</v>
      </c>
      <c r="D19" s="2" t="s">
        <v>28</v>
      </c>
      <c r="E19" s="2" t="s">
        <v>17</v>
      </c>
      <c r="F19" s="2">
        <v>59117.9</v>
      </c>
      <c r="G19" s="2">
        <v>4263</v>
      </c>
      <c r="H19" s="2">
        <v>0.11899999999999999</v>
      </c>
      <c r="I19" s="2">
        <v>9</v>
      </c>
      <c r="J19" s="2">
        <v>87.6</v>
      </c>
      <c r="K19" s="2">
        <v>4.01</v>
      </c>
      <c r="L19" s="2">
        <v>0</v>
      </c>
      <c r="M19" s="2">
        <v>3.6</v>
      </c>
      <c r="N19" s="2">
        <v>573155.18999999994</v>
      </c>
      <c r="O19" s="2">
        <v>83680.75</v>
      </c>
      <c r="P19" s="2">
        <v>0</v>
      </c>
      <c r="Q19" s="2">
        <v>0</v>
      </c>
      <c r="R19" s="2" t="s">
        <v>126</v>
      </c>
    </row>
    <row r="20" spans="1:18" ht="15" customHeight="1">
      <c r="A20" s="2">
        <v>19</v>
      </c>
      <c r="B20" s="2" t="s">
        <v>27</v>
      </c>
      <c r="C20" s="2" t="s">
        <v>19</v>
      </c>
      <c r="D20" s="2" t="s">
        <v>28</v>
      </c>
      <c r="E20" s="2" t="s">
        <v>17</v>
      </c>
      <c r="F20" s="2">
        <v>78831.12</v>
      </c>
      <c r="G20" s="2">
        <v>5538</v>
      </c>
      <c r="H20" s="2">
        <v>0</v>
      </c>
      <c r="I20" s="2">
        <v>15</v>
      </c>
      <c r="J20" s="2">
        <v>94.1</v>
      </c>
      <c r="K20" s="2">
        <v>0.2</v>
      </c>
      <c r="L20" s="2">
        <v>0</v>
      </c>
      <c r="M20" s="2">
        <v>3.9</v>
      </c>
      <c r="N20" s="2">
        <v>666573.19999999995</v>
      </c>
      <c r="O20" s="2">
        <v>140641.01999999999</v>
      </c>
      <c r="P20" s="2">
        <v>0</v>
      </c>
      <c r="Q20" s="2">
        <v>0</v>
      </c>
      <c r="R20" s="2" t="s">
        <v>126</v>
      </c>
    </row>
    <row r="21" spans="1:18" ht="15" customHeight="1">
      <c r="A21" s="2">
        <v>20</v>
      </c>
      <c r="B21" s="2" t="s">
        <v>27</v>
      </c>
      <c r="C21" s="2" t="s">
        <v>20</v>
      </c>
      <c r="D21" s="2" t="s">
        <v>28</v>
      </c>
      <c r="E21" s="2" t="s">
        <v>17</v>
      </c>
      <c r="F21" s="2">
        <v>41441.93</v>
      </c>
      <c r="G21" s="2">
        <v>4865</v>
      </c>
      <c r="H21" s="2">
        <v>0.158</v>
      </c>
      <c r="I21" s="2">
        <v>16</v>
      </c>
      <c r="J21" s="2">
        <v>88.3</v>
      </c>
      <c r="K21" s="2">
        <v>0.5</v>
      </c>
      <c r="L21" s="2">
        <v>0</v>
      </c>
      <c r="M21" s="2">
        <v>4</v>
      </c>
      <c r="N21" s="2">
        <v>591619.94999999995</v>
      </c>
      <c r="O21" s="2">
        <v>99521.35</v>
      </c>
      <c r="P21" s="2">
        <v>0</v>
      </c>
      <c r="Q21" s="2">
        <v>0</v>
      </c>
      <c r="R21" s="2" t="s">
        <v>126</v>
      </c>
    </row>
    <row r="22" spans="1:18" ht="15" customHeight="1">
      <c r="A22" s="2">
        <v>21</v>
      </c>
      <c r="B22" s="2" t="s">
        <v>29</v>
      </c>
      <c r="C22" s="2" t="s">
        <v>15</v>
      </c>
      <c r="D22" s="2" t="s">
        <v>24</v>
      </c>
      <c r="E22" s="2" t="s">
        <v>17</v>
      </c>
      <c r="F22" s="2">
        <v>30356.28</v>
      </c>
      <c r="G22" s="2">
        <v>2822</v>
      </c>
      <c r="H22" s="2">
        <v>0.23100000000000001</v>
      </c>
      <c r="I22" s="2">
        <v>9</v>
      </c>
      <c r="J22" s="2">
        <v>84.8</v>
      </c>
      <c r="K22" s="2">
        <v>6.95</v>
      </c>
      <c r="L22" s="2">
        <v>0</v>
      </c>
      <c r="M22" s="2">
        <v>5</v>
      </c>
      <c r="N22" s="2">
        <v>415721.82</v>
      </c>
      <c r="O22" s="2">
        <v>61179.15</v>
      </c>
      <c r="P22" s="2">
        <v>0</v>
      </c>
      <c r="Q22" s="2">
        <v>0</v>
      </c>
      <c r="R22" s="2" t="s">
        <v>126</v>
      </c>
    </row>
    <row r="23" spans="1:18" ht="15" customHeight="1">
      <c r="A23" s="2">
        <v>22</v>
      </c>
      <c r="B23" s="2" t="s">
        <v>29</v>
      </c>
      <c r="C23" s="2" t="s">
        <v>18</v>
      </c>
      <c r="D23" s="2" t="s">
        <v>24</v>
      </c>
      <c r="E23" s="2" t="s">
        <v>17</v>
      </c>
      <c r="F23" s="2">
        <v>33518.879999999997</v>
      </c>
      <c r="G23" s="2">
        <v>2121</v>
      </c>
      <c r="H23" s="2">
        <v>0.17599999999999999</v>
      </c>
      <c r="I23" s="2">
        <v>8</v>
      </c>
      <c r="J23" s="2">
        <v>88.5</v>
      </c>
      <c r="K23" s="2">
        <v>0.2</v>
      </c>
      <c r="L23" s="2">
        <v>0</v>
      </c>
      <c r="M23" s="2">
        <v>5</v>
      </c>
      <c r="N23" s="2">
        <v>491905.13</v>
      </c>
      <c r="O23" s="2">
        <v>79212.259999999995</v>
      </c>
      <c r="P23" s="2">
        <v>0</v>
      </c>
      <c r="Q23" s="2">
        <v>0</v>
      </c>
      <c r="R23" s="2" t="s">
        <v>126</v>
      </c>
    </row>
    <row r="24" spans="1:18" ht="15" customHeight="1">
      <c r="A24" s="2">
        <v>23</v>
      </c>
      <c r="B24" s="2" t="s">
        <v>29</v>
      </c>
      <c r="C24" s="2" t="s">
        <v>19</v>
      </c>
      <c r="D24" s="2" t="s">
        <v>24</v>
      </c>
      <c r="E24" s="2" t="s">
        <v>17</v>
      </c>
      <c r="F24" s="2">
        <v>42267.37</v>
      </c>
      <c r="G24" s="2">
        <v>3364</v>
      </c>
      <c r="H24" s="2">
        <v>0.16</v>
      </c>
      <c r="I24" s="2">
        <v>13</v>
      </c>
      <c r="J24" s="2">
        <v>82</v>
      </c>
      <c r="K24" s="2">
        <v>1.61</v>
      </c>
      <c r="L24" s="2">
        <v>1</v>
      </c>
      <c r="M24" s="2">
        <v>4.5999999999999996</v>
      </c>
      <c r="N24" s="2">
        <v>555929.4</v>
      </c>
      <c r="O24" s="2">
        <v>115201.76</v>
      </c>
      <c r="P24" s="2">
        <v>0</v>
      </c>
      <c r="Q24" s="2">
        <v>0</v>
      </c>
      <c r="R24" s="2" t="s">
        <v>126</v>
      </c>
    </row>
    <row r="25" spans="1:18" ht="15" customHeight="1">
      <c r="A25" s="2">
        <v>24</v>
      </c>
      <c r="B25" s="2" t="s">
        <v>29</v>
      </c>
      <c r="C25" s="2" t="s">
        <v>20</v>
      </c>
      <c r="D25" s="2" t="s">
        <v>24</v>
      </c>
      <c r="E25" s="2" t="s">
        <v>17</v>
      </c>
      <c r="F25" s="2">
        <v>62060.43</v>
      </c>
      <c r="G25" s="2">
        <v>2613</v>
      </c>
      <c r="H25" s="2">
        <v>0.216</v>
      </c>
      <c r="I25" s="2">
        <v>12</v>
      </c>
      <c r="J25" s="2">
        <v>92.1</v>
      </c>
      <c r="K25" s="2">
        <v>1.55</v>
      </c>
      <c r="L25" s="2">
        <v>0</v>
      </c>
      <c r="M25" s="2">
        <v>4.7</v>
      </c>
      <c r="N25" s="2">
        <v>565810.99</v>
      </c>
      <c r="O25" s="2">
        <v>77825.460000000006</v>
      </c>
      <c r="P25" s="2">
        <v>0</v>
      </c>
      <c r="Q25" s="2">
        <v>0</v>
      </c>
      <c r="R25" s="2" t="s">
        <v>126</v>
      </c>
    </row>
    <row r="26" spans="1:18" ht="15" customHeight="1">
      <c r="A26" s="2">
        <v>25</v>
      </c>
      <c r="B26" s="2" t="s">
        <v>30</v>
      </c>
      <c r="C26" s="2" t="s">
        <v>15</v>
      </c>
      <c r="D26" s="2" t="s">
        <v>31</v>
      </c>
      <c r="E26" s="2" t="s">
        <v>32</v>
      </c>
      <c r="F26" s="2">
        <v>57696.69</v>
      </c>
      <c r="G26" s="2">
        <v>10218</v>
      </c>
      <c r="H26" s="2">
        <v>0.121</v>
      </c>
      <c r="I26" s="2">
        <v>25</v>
      </c>
      <c r="J26" s="2">
        <v>94.8</v>
      </c>
      <c r="K26" s="2">
        <v>2.99</v>
      </c>
      <c r="L26" s="2">
        <v>0</v>
      </c>
      <c r="M26" s="2">
        <v>3.5</v>
      </c>
      <c r="N26" s="2">
        <v>811771.14</v>
      </c>
      <c r="O26" s="2">
        <v>148756.24</v>
      </c>
      <c r="P26" s="2">
        <v>0</v>
      </c>
      <c r="Q26" s="2">
        <v>0</v>
      </c>
      <c r="R26" s="2" t="s">
        <v>126</v>
      </c>
    </row>
    <row r="27" spans="1:18" ht="15" customHeight="1">
      <c r="A27" s="2">
        <v>26</v>
      </c>
      <c r="B27" s="2" t="s">
        <v>30</v>
      </c>
      <c r="C27" s="2" t="s">
        <v>18</v>
      </c>
      <c r="D27" s="2" t="s">
        <v>31</v>
      </c>
      <c r="E27" s="2" t="s">
        <v>32</v>
      </c>
      <c r="F27" s="2">
        <v>172415.52</v>
      </c>
      <c r="G27" s="2">
        <v>8927</v>
      </c>
      <c r="H27" s="2">
        <v>0.14000000000000001</v>
      </c>
      <c r="I27" s="2">
        <v>22</v>
      </c>
      <c r="J27" s="2">
        <v>86.2</v>
      </c>
      <c r="K27" s="2">
        <v>7.04</v>
      </c>
      <c r="L27" s="2">
        <v>0</v>
      </c>
      <c r="M27" s="2">
        <v>3.9</v>
      </c>
      <c r="N27" s="2">
        <v>800451.94</v>
      </c>
      <c r="O27" s="2">
        <v>111572.29</v>
      </c>
      <c r="P27" s="2">
        <v>0</v>
      </c>
      <c r="Q27" s="2">
        <v>0</v>
      </c>
      <c r="R27" s="2" t="s">
        <v>126</v>
      </c>
    </row>
    <row r="28" spans="1:18" ht="15" customHeight="1">
      <c r="A28" s="2">
        <v>27</v>
      </c>
      <c r="B28" s="2" t="s">
        <v>30</v>
      </c>
      <c r="C28" s="2" t="s">
        <v>19</v>
      </c>
      <c r="D28" s="2" t="s">
        <v>31</v>
      </c>
      <c r="E28" s="2" t="s">
        <v>32</v>
      </c>
      <c r="F28" s="2">
        <v>55270.52</v>
      </c>
      <c r="G28" s="2">
        <v>9315</v>
      </c>
      <c r="H28" s="2">
        <v>0.16900000000000001</v>
      </c>
      <c r="I28" s="2">
        <v>23</v>
      </c>
      <c r="J28" s="2">
        <v>91.9</v>
      </c>
      <c r="K28" s="2">
        <v>4.9400000000000004</v>
      </c>
      <c r="L28" s="2">
        <v>0</v>
      </c>
      <c r="M28" s="2">
        <v>4</v>
      </c>
      <c r="N28" s="2">
        <v>783672.82</v>
      </c>
      <c r="O28" s="2">
        <v>112577.14</v>
      </c>
      <c r="P28" s="2">
        <v>0</v>
      </c>
      <c r="Q28" s="2">
        <v>0</v>
      </c>
      <c r="R28" s="2" t="s">
        <v>126</v>
      </c>
    </row>
    <row r="29" spans="1:18" ht="15" customHeight="1">
      <c r="A29" s="2">
        <v>28</v>
      </c>
      <c r="B29" s="2" t="s">
        <v>30</v>
      </c>
      <c r="C29" s="2" t="s">
        <v>20</v>
      </c>
      <c r="D29" s="2" t="s">
        <v>31</v>
      </c>
      <c r="E29" s="2" t="s">
        <v>32</v>
      </c>
      <c r="F29" s="2">
        <v>52715.1</v>
      </c>
      <c r="G29" s="2">
        <v>7223</v>
      </c>
      <c r="H29" s="2">
        <v>0.122</v>
      </c>
      <c r="I29" s="2">
        <v>16</v>
      </c>
      <c r="J29" s="2">
        <v>84.2</v>
      </c>
      <c r="K29" s="2">
        <v>16.149999999999999</v>
      </c>
      <c r="L29" s="2">
        <v>0</v>
      </c>
      <c r="M29" s="2">
        <v>3.7</v>
      </c>
      <c r="N29" s="2">
        <v>701641.97</v>
      </c>
      <c r="O29" s="2">
        <v>106111.86</v>
      </c>
      <c r="P29" s="2">
        <v>0</v>
      </c>
      <c r="Q29" s="2">
        <v>0</v>
      </c>
      <c r="R29" s="2" t="s">
        <v>126</v>
      </c>
    </row>
    <row r="30" spans="1:18" ht="15" customHeight="1">
      <c r="A30" s="2">
        <v>29</v>
      </c>
      <c r="B30" s="2" t="s">
        <v>33</v>
      </c>
      <c r="C30" s="2" t="s">
        <v>15</v>
      </c>
      <c r="D30" s="2" t="s">
        <v>16</v>
      </c>
      <c r="E30" s="2" t="s">
        <v>17</v>
      </c>
      <c r="F30" s="2">
        <v>68600.62</v>
      </c>
      <c r="G30" s="2">
        <v>3988</v>
      </c>
      <c r="H30" s="2">
        <v>0.124</v>
      </c>
      <c r="I30" s="2">
        <v>11</v>
      </c>
      <c r="J30" s="2">
        <v>85</v>
      </c>
      <c r="K30" s="2">
        <v>0.48</v>
      </c>
      <c r="L30" s="2">
        <v>0</v>
      </c>
      <c r="M30" s="2">
        <v>3.6</v>
      </c>
      <c r="N30" s="2">
        <v>511844.41</v>
      </c>
      <c r="O30" s="2">
        <v>72774.44</v>
      </c>
      <c r="P30" s="2">
        <v>0</v>
      </c>
      <c r="Q30" s="2">
        <v>0</v>
      </c>
      <c r="R30" s="2" t="s">
        <v>126</v>
      </c>
    </row>
    <row r="31" spans="1:18" ht="15" customHeight="1">
      <c r="A31" s="2">
        <v>30</v>
      </c>
      <c r="B31" s="2" t="s">
        <v>33</v>
      </c>
      <c r="C31" s="2" t="s">
        <v>18</v>
      </c>
      <c r="D31" s="2" t="s">
        <v>16</v>
      </c>
      <c r="E31" s="2" t="s">
        <v>17</v>
      </c>
      <c r="F31" s="2">
        <v>63176.73</v>
      </c>
      <c r="G31" s="2">
        <v>2390</v>
      </c>
      <c r="H31" s="2">
        <v>0.216</v>
      </c>
      <c r="I31" s="2">
        <v>9</v>
      </c>
      <c r="J31" s="2">
        <v>87.5</v>
      </c>
      <c r="K31" s="2">
        <v>0.31</v>
      </c>
      <c r="L31" s="2">
        <v>0</v>
      </c>
      <c r="M31" s="2">
        <v>3.1</v>
      </c>
      <c r="N31" s="2">
        <v>537383.79</v>
      </c>
      <c r="O31" s="2">
        <v>63773.27</v>
      </c>
      <c r="P31" s="2">
        <v>0</v>
      </c>
      <c r="Q31" s="2">
        <v>0</v>
      </c>
      <c r="R31" s="2" t="s">
        <v>126</v>
      </c>
    </row>
    <row r="32" spans="1:18" ht="15" customHeight="1">
      <c r="A32" s="2">
        <v>31</v>
      </c>
      <c r="B32" s="2" t="s">
        <v>33</v>
      </c>
      <c r="C32" s="2" t="s">
        <v>19</v>
      </c>
      <c r="D32" s="2" t="s">
        <v>16</v>
      </c>
      <c r="E32" s="2" t="s">
        <v>17</v>
      </c>
      <c r="F32" s="2">
        <v>44970.080000000002</v>
      </c>
      <c r="G32" s="2">
        <v>2471</v>
      </c>
      <c r="H32" s="2">
        <v>0.13600000000000001</v>
      </c>
      <c r="I32" s="2">
        <v>11</v>
      </c>
      <c r="J32" s="2">
        <v>87.6</v>
      </c>
      <c r="K32" s="2">
        <v>3.01</v>
      </c>
      <c r="L32" s="2">
        <v>1</v>
      </c>
      <c r="M32" s="2">
        <v>3.7</v>
      </c>
      <c r="N32" s="2">
        <v>500173.02</v>
      </c>
      <c r="O32" s="2">
        <v>70982.05</v>
      </c>
      <c r="P32" s="2">
        <v>0</v>
      </c>
      <c r="Q32" s="2">
        <v>0</v>
      </c>
      <c r="R32" s="2" t="s">
        <v>126</v>
      </c>
    </row>
    <row r="33" spans="1:18" ht="15" customHeight="1">
      <c r="A33" s="2">
        <v>32</v>
      </c>
      <c r="B33" s="2" t="s">
        <v>33</v>
      </c>
      <c r="C33" s="2" t="s">
        <v>20</v>
      </c>
      <c r="D33" s="2" t="s">
        <v>16</v>
      </c>
      <c r="E33" s="2" t="s">
        <v>17</v>
      </c>
      <c r="F33" s="2">
        <v>69816.350000000006</v>
      </c>
      <c r="G33" s="2">
        <v>971</v>
      </c>
      <c r="H33" s="2">
        <v>0.16800000000000001</v>
      </c>
      <c r="I33" s="2">
        <v>5</v>
      </c>
      <c r="J33" s="2">
        <v>89.9</v>
      </c>
      <c r="K33" s="2">
        <v>12.15</v>
      </c>
      <c r="L33" s="2">
        <v>0</v>
      </c>
      <c r="M33" s="2">
        <v>3.6</v>
      </c>
      <c r="N33" s="2">
        <v>427917.38</v>
      </c>
      <c r="O33" s="2">
        <v>81824.31</v>
      </c>
      <c r="P33" s="2">
        <v>0</v>
      </c>
      <c r="Q33" s="2">
        <v>0</v>
      </c>
      <c r="R33" s="2" t="s">
        <v>126</v>
      </c>
    </row>
    <row r="34" spans="1:18" ht="15" customHeight="1">
      <c r="A34" s="2">
        <v>33</v>
      </c>
      <c r="B34" s="2" t="s">
        <v>34</v>
      </c>
      <c r="C34" s="2" t="s">
        <v>15</v>
      </c>
      <c r="D34" s="2" t="s">
        <v>24</v>
      </c>
      <c r="E34" s="2" t="s">
        <v>17</v>
      </c>
      <c r="F34" s="2">
        <v>54597.83</v>
      </c>
      <c r="G34" s="2">
        <v>9429</v>
      </c>
      <c r="H34" s="2">
        <v>0.188</v>
      </c>
      <c r="I34" s="2">
        <v>21</v>
      </c>
      <c r="J34" s="2">
        <v>83.3</v>
      </c>
      <c r="K34" s="2">
        <v>11.71</v>
      </c>
      <c r="L34" s="2">
        <v>0</v>
      </c>
      <c r="M34" s="2">
        <v>4.2</v>
      </c>
      <c r="N34" s="2">
        <v>641865.03</v>
      </c>
      <c r="O34" s="2">
        <v>81342.58</v>
      </c>
      <c r="P34" s="2">
        <v>0</v>
      </c>
      <c r="Q34" s="2">
        <v>0</v>
      </c>
      <c r="R34" s="2" t="s">
        <v>126</v>
      </c>
    </row>
    <row r="35" spans="1:18" ht="15" customHeight="1">
      <c r="A35" s="2">
        <v>34</v>
      </c>
      <c r="B35" s="2" t="s">
        <v>34</v>
      </c>
      <c r="C35" s="2" t="s">
        <v>18</v>
      </c>
      <c r="D35" s="2" t="s">
        <v>24</v>
      </c>
      <c r="E35" s="2" t="s">
        <v>17</v>
      </c>
      <c r="F35" s="2">
        <v>73771.91</v>
      </c>
      <c r="G35" s="2">
        <v>11695</v>
      </c>
      <c r="H35" s="2">
        <v>7.0000000000000007E-2</v>
      </c>
      <c r="I35" s="2">
        <v>25</v>
      </c>
      <c r="J35" s="2">
        <v>84.7</v>
      </c>
      <c r="K35" s="2">
        <v>0.62</v>
      </c>
      <c r="L35" s="2">
        <v>0</v>
      </c>
      <c r="M35" s="2">
        <v>3.9</v>
      </c>
      <c r="N35" s="2">
        <v>799477.76000000001</v>
      </c>
      <c r="O35" s="2">
        <v>164974.41</v>
      </c>
      <c r="P35" s="2">
        <v>1</v>
      </c>
      <c r="Q35" s="2">
        <v>0</v>
      </c>
      <c r="R35" s="2" t="s">
        <v>127</v>
      </c>
    </row>
    <row r="36" spans="1:18" ht="15" customHeight="1">
      <c r="A36" s="2">
        <v>35</v>
      </c>
      <c r="B36" s="2" t="s">
        <v>34</v>
      </c>
      <c r="C36" s="2" t="s">
        <v>19</v>
      </c>
      <c r="D36" s="2" t="s">
        <v>24</v>
      </c>
      <c r="E36" s="2" t="s">
        <v>17</v>
      </c>
      <c r="F36" s="2">
        <v>74413.88</v>
      </c>
      <c r="G36" s="2">
        <v>9449</v>
      </c>
      <c r="H36" s="2">
        <v>3.9E-2</v>
      </c>
      <c r="I36" s="2">
        <v>23</v>
      </c>
      <c r="J36" s="2">
        <v>92.1</v>
      </c>
      <c r="K36" s="2">
        <v>2.12</v>
      </c>
      <c r="L36" s="2">
        <v>0</v>
      </c>
      <c r="M36" s="2">
        <v>3.5</v>
      </c>
      <c r="N36" s="2">
        <v>798952.17</v>
      </c>
      <c r="O36" s="2">
        <v>161499.04</v>
      </c>
      <c r="P36" s="2">
        <v>0</v>
      </c>
      <c r="Q36" s="2">
        <v>0</v>
      </c>
      <c r="R36" s="2" t="s">
        <v>126</v>
      </c>
    </row>
    <row r="37" spans="1:18" ht="15" customHeight="1">
      <c r="A37" s="2">
        <v>36</v>
      </c>
      <c r="B37" s="2" t="s">
        <v>34</v>
      </c>
      <c r="C37" s="2" t="s">
        <v>20</v>
      </c>
      <c r="D37" s="2" t="s">
        <v>24</v>
      </c>
      <c r="E37" s="2" t="s">
        <v>17</v>
      </c>
      <c r="F37" s="2">
        <v>52483.77</v>
      </c>
      <c r="G37" s="2">
        <v>10453</v>
      </c>
      <c r="H37" s="2">
        <v>0.247</v>
      </c>
      <c r="I37" s="2">
        <v>25</v>
      </c>
      <c r="J37" s="2">
        <v>99</v>
      </c>
      <c r="K37" s="2">
        <v>6.31</v>
      </c>
      <c r="L37" s="2">
        <v>0</v>
      </c>
      <c r="M37" s="2">
        <v>3.6</v>
      </c>
      <c r="N37" s="2">
        <v>800979.78</v>
      </c>
      <c r="O37" s="2">
        <v>149242.26999999999</v>
      </c>
      <c r="P37" s="2">
        <v>0</v>
      </c>
      <c r="Q37" s="2">
        <v>0</v>
      </c>
      <c r="R37" s="2" t="s">
        <v>126</v>
      </c>
    </row>
    <row r="38" spans="1:18" ht="15" customHeight="1">
      <c r="A38" s="2">
        <v>37</v>
      </c>
      <c r="B38" s="2" t="s">
        <v>35</v>
      </c>
      <c r="C38" s="2" t="s">
        <v>15</v>
      </c>
      <c r="D38" s="2" t="s">
        <v>24</v>
      </c>
      <c r="E38" s="2" t="s">
        <v>32</v>
      </c>
      <c r="F38" s="2">
        <v>75269.87</v>
      </c>
      <c r="G38" s="2">
        <v>8838</v>
      </c>
      <c r="H38" s="2">
        <v>9.1999999999999998E-2</v>
      </c>
      <c r="I38" s="2">
        <v>21</v>
      </c>
      <c r="J38" s="2">
        <v>83.1</v>
      </c>
      <c r="K38" s="2">
        <v>9.56</v>
      </c>
      <c r="L38" s="2">
        <v>1</v>
      </c>
      <c r="M38" s="2">
        <v>4.2</v>
      </c>
      <c r="N38" s="2">
        <v>820593.93</v>
      </c>
      <c r="O38" s="2">
        <v>115860.06</v>
      </c>
      <c r="P38" s="2">
        <v>0</v>
      </c>
      <c r="Q38" s="2">
        <v>0</v>
      </c>
      <c r="R38" s="2" t="s">
        <v>126</v>
      </c>
    </row>
    <row r="39" spans="1:18" ht="15" customHeight="1">
      <c r="A39" s="2">
        <v>38</v>
      </c>
      <c r="B39" s="2" t="s">
        <v>35</v>
      </c>
      <c r="C39" s="2" t="s">
        <v>18</v>
      </c>
      <c r="D39" s="2" t="s">
        <v>24</v>
      </c>
      <c r="E39" s="2" t="s">
        <v>32</v>
      </c>
      <c r="F39" s="2">
        <v>61245.41</v>
      </c>
      <c r="G39" s="2">
        <v>8156</v>
      </c>
      <c r="H39" s="2">
        <v>0.156</v>
      </c>
      <c r="I39" s="2">
        <v>19</v>
      </c>
      <c r="J39" s="2">
        <v>92.9</v>
      </c>
      <c r="K39" s="2">
        <v>9.0500000000000007</v>
      </c>
      <c r="L39" s="2">
        <v>0</v>
      </c>
      <c r="M39" s="2">
        <v>3.8</v>
      </c>
      <c r="N39" s="2">
        <v>718330.53</v>
      </c>
      <c r="O39" s="2">
        <v>93247.9</v>
      </c>
      <c r="P39" s="2">
        <v>0</v>
      </c>
      <c r="Q39" s="2">
        <v>0</v>
      </c>
      <c r="R39" s="2" t="s">
        <v>126</v>
      </c>
    </row>
    <row r="40" spans="1:18" ht="15" customHeight="1">
      <c r="A40" s="2">
        <v>39</v>
      </c>
      <c r="B40" s="2" t="s">
        <v>35</v>
      </c>
      <c r="C40" s="2" t="s">
        <v>19</v>
      </c>
      <c r="D40" s="2" t="s">
        <v>24</v>
      </c>
      <c r="E40" s="2" t="s">
        <v>32</v>
      </c>
      <c r="F40" s="2">
        <v>93381.26</v>
      </c>
      <c r="G40" s="2">
        <v>7562</v>
      </c>
      <c r="H40" s="2">
        <v>0.19800000000000001</v>
      </c>
      <c r="I40" s="2">
        <v>19</v>
      </c>
      <c r="J40" s="2">
        <v>82.9</v>
      </c>
      <c r="K40" s="2">
        <v>5.05</v>
      </c>
      <c r="L40" s="2">
        <v>0</v>
      </c>
      <c r="M40" s="2">
        <v>4</v>
      </c>
      <c r="N40" s="2">
        <v>736633.4</v>
      </c>
      <c r="O40" s="2">
        <v>115654.66</v>
      </c>
      <c r="P40" s="2">
        <v>0</v>
      </c>
      <c r="Q40" s="2">
        <v>0</v>
      </c>
      <c r="R40" s="2" t="s">
        <v>126</v>
      </c>
    </row>
    <row r="41" spans="1:18" ht="15" customHeight="1">
      <c r="A41" s="2">
        <v>40</v>
      </c>
      <c r="B41" s="2" t="s">
        <v>35</v>
      </c>
      <c r="C41" s="2" t="s">
        <v>20</v>
      </c>
      <c r="D41" s="2" t="s">
        <v>24</v>
      </c>
      <c r="E41" s="2" t="s">
        <v>32</v>
      </c>
      <c r="F41" s="2">
        <v>65012.19</v>
      </c>
      <c r="G41" s="2">
        <v>9598</v>
      </c>
      <c r="H41" s="2">
        <v>8.5000000000000006E-2</v>
      </c>
      <c r="I41" s="2">
        <v>24</v>
      </c>
      <c r="J41" s="2">
        <v>98.3</v>
      </c>
      <c r="K41" s="2">
        <v>0.89</v>
      </c>
      <c r="L41" s="2">
        <v>0</v>
      </c>
      <c r="M41" s="2">
        <v>3.8</v>
      </c>
      <c r="N41" s="2">
        <v>828623.85</v>
      </c>
      <c r="O41" s="2">
        <v>167320.51999999999</v>
      </c>
      <c r="P41" s="2">
        <v>0</v>
      </c>
      <c r="Q41" s="2">
        <v>0</v>
      </c>
      <c r="R41" s="2" t="s">
        <v>126</v>
      </c>
    </row>
    <row r="42" spans="1:18" ht="15" customHeight="1">
      <c r="A42" s="2">
        <v>41</v>
      </c>
      <c r="B42" s="2" t="s">
        <v>36</v>
      </c>
      <c r="C42" s="2" t="s">
        <v>15</v>
      </c>
      <c r="D42" s="2" t="s">
        <v>16</v>
      </c>
      <c r="E42" s="2" t="s">
        <v>32</v>
      </c>
      <c r="F42" s="2">
        <v>40462.94</v>
      </c>
      <c r="G42" s="2">
        <v>3660</v>
      </c>
      <c r="H42" s="2">
        <v>0.218</v>
      </c>
      <c r="I42" s="2">
        <v>11</v>
      </c>
      <c r="J42" s="2">
        <v>95.2</v>
      </c>
      <c r="K42" s="2">
        <v>5.57</v>
      </c>
      <c r="L42" s="2">
        <v>0</v>
      </c>
      <c r="M42" s="2">
        <v>4.4000000000000004</v>
      </c>
      <c r="N42" s="2">
        <v>592195.85</v>
      </c>
      <c r="O42" s="2">
        <v>92291.56</v>
      </c>
      <c r="P42" s="2">
        <v>0</v>
      </c>
      <c r="Q42" s="2">
        <v>0</v>
      </c>
      <c r="R42" s="2" t="s">
        <v>126</v>
      </c>
    </row>
    <row r="43" spans="1:18" ht="15" customHeight="1">
      <c r="A43" s="2">
        <v>42</v>
      </c>
      <c r="B43" s="2" t="s">
        <v>36</v>
      </c>
      <c r="C43" s="2" t="s">
        <v>18</v>
      </c>
      <c r="D43" s="2" t="s">
        <v>16</v>
      </c>
      <c r="E43" s="2" t="s">
        <v>32</v>
      </c>
      <c r="F43" s="2">
        <v>46123.88</v>
      </c>
      <c r="G43" s="2">
        <v>3227</v>
      </c>
      <c r="H43" s="2">
        <v>0.14299999999999999</v>
      </c>
      <c r="I43" s="2">
        <v>10</v>
      </c>
      <c r="J43" s="2">
        <v>75.400000000000006</v>
      </c>
      <c r="K43" s="2">
        <v>1.06</v>
      </c>
      <c r="L43" s="2">
        <v>0</v>
      </c>
      <c r="M43" s="2">
        <v>4.4000000000000004</v>
      </c>
      <c r="N43" s="2">
        <v>532644.46</v>
      </c>
      <c r="O43" s="2">
        <v>60681.32</v>
      </c>
      <c r="P43" s="2">
        <v>0</v>
      </c>
      <c r="Q43" s="2">
        <v>0</v>
      </c>
      <c r="R43" s="2" t="s">
        <v>126</v>
      </c>
    </row>
    <row r="44" spans="1:18" ht="15" customHeight="1">
      <c r="A44" s="2">
        <v>43</v>
      </c>
      <c r="B44" s="2" t="s">
        <v>36</v>
      </c>
      <c r="C44" s="2" t="s">
        <v>19</v>
      </c>
      <c r="D44" s="2" t="s">
        <v>16</v>
      </c>
      <c r="E44" s="2" t="s">
        <v>32</v>
      </c>
      <c r="F44" s="2">
        <v>68077.539999999994</v>
      </c>
      <c r="G44" s="2">
        <v>3360</v>
      </c>
      <c r="H44" s="2">
        <v>0.128</v>
      </c>
      <c r="I44" s="2">
        <v>14</v>
      </c>
      <c r="J44" s="2">
        <v>88.2</v>
      </c>
      <c r="K44" s="2">
        <v>1.24</v>
      </c>
      <c r="L44" s="2">
        <v>1</v>
      </c>
      <c r="M44" s="2">
        <v>4</v>
      </c>
      <c r="N44" s="2">
        <v>657429.18000000005</v>
      </c>
      <c r="O44" s="2">
        <v>88919.74</v>
      </c>
      <c r="P44" s="2">
        <v>0</v>
      </c>
      <c r="Q44" s="2">
        <v>0</v>
      </c>
      <c r="R44" s="2" t="s">
        <v>126</v>
      </c>
    </row>
    <row r="45" spans="1:18" ht="15" customHeight="1">
      <c r="A45" s="2">
        <v>44</v>
      </c>
      <c r="B45" s="2" t="s">
        <v>36</v>
      </c>
      <c r="C45" s="2" t="s">
        <v>20</v>
      </c>
      <c r="D45" s="2" t="s">
        <v>16</v>
      </c>
      <c r="E45" s="2" t="s">
        <v>32</v>
      </c>
      <c r="F45" s="2">
        <v>64882.14</v>
      </c>
      <c r="G45" s="2">
        <v>3642</v>
      </c>
      <c r="H45" s="2">
        <v>1.9E-2</v>
      </c>
      <c r="I45" s="2">
        <v>13</v>
      </c>
      <c r="J45" s="2">
        <v>87.8</v>
      </c>
      <c r="K45" s="2">
        <v>4.5199999999999996</v>
      </c>
      <c r="L45" s="2">
        <v>0</v>
      </c>
      <c r="M45" s="2">
        <v>4.2</v>
      </c>
      <c r="N45" s="2">
        <v>605178</v>
      </c>
      <c r="O45" s="2">
        <v>106958.74</v>
      </c>
      <c r="P45" s="2">
        <v>0</v>
      </c>
      <c r="Q45" s="2">
        <v>0</v>
      </c>
      <c r="R45" s="2" t="s">
        <v>126</v>
      </c>
    </row>
    <row r="46" spans="1:18" ht="15" customHeight="1">
      <c r="A46" s="2">
        <v>45</v>
      </c>
      <c r="B46" s="2" t="s">
        <v>37</v>
      </c>
      <c r="C46" s="2" t="s">
        <v>15</v>
      </c>
      <c r="D46" s="2" t="s">
        <v>31</v>
      </c>
      <c r="E46" s="2" t="s">
        <v>17</v>
      </c>
      <c r="F46" s="2">
        <v>138855.51</v>
      </c>
      <c r="G46" s="2">
        <v>5145</v>
      </c>
      <c r="H46" s="2">
        <v>0.06</v>
      </c>
      <c r="I46" s="2">
        <v>17</v>
      </c>
      <c r="J46" s="2">
        <v>88.2</v>
      </c>
      <c r="K46" s="2">
        <v>9.58</v>
      </c>
      <c r="L46" s="2">
        <v>0</v>
      </c>
      <c r="M46" s="2">
        <v>3.2</v>
      </c>
      <c r="N46" s="2">
        <v>595467.6</v>
      </c>
      <c r="O46" s="2">
        <v>104276.46</v>
      </c>
      <c r="P46" s="2">
        <v>0</v>
      </c>
      <c r="Q46" s="2">
        <v>0</v>
      </c>
      <c r="R46" s="2" t="s">
        <v>126</v>
      </c>
    </row>
    <row r="47" spans="1:18" ht="15" customHeight="1">
      <c r="A47" s="2">
        <v>46</v>
      </c>
      <c r="B47" s="2" t="s">
        <v>37</v>
      </c>
      <c r="C47" s="2" t="s">
        <v>18</v>
      </c>
      <c r="D47" s="2" t="s">
        <v>31</v>
      </c>
      <c r="E47" s="2" t="s">
        <v>17</v>
      </c>
      <c r="F47" s="2">
        <v>63630.21</v>
      </c>
      <c r="G47" s="2">
        <v>4460</v>
      </c>
      <c r="H47" s="2">
        <v>0.23499999999999999</v>
      </c>
      <c r="I47" s="2">
        <v>14</v>
      </c>
      <c r="J47" s="2">
        <v>98.6</v>
      </c>
      <c r="K47" s="2">
        <v>5.52</v>
      </c>
      <c r="L47" s="2">
        <v>0</v>
      </c>
      <c r="M47" s="2">
        <v>3.5</v>
      </c>
      <c r="N47" s="2">
        <v>599603.4</v>
      </c>
      <c r="O47" s="2">
        <v>112685.12</v>
      </c>
      <c r="P47" s="2">
        <v>0</v>
      </c>
      <c r="Q47" s="2">
        <v>0</v>
      </c>
      <c r="R47" s="2" t="s">
        <v>126</v>
      </c>
    </row>
    <row r="48" spans="1:18" ht="15" customHeight="1">
      <c r="A48" s="2">
        <v>47</v>
      </c>
      <c r="B48" s="2" t="s">
        <v>37</v>
      </c>
      <c r="C48" s="2" t="s">
        <v>19</v>
      </c>
      <c r="D48" s="2" t="s">
        <v>31</v>
      </c>
      <c r="E48" s="2" t="s">
        <v>17</v>
      </c>
      <c r="F48" s="2">
        <v>50043.65</v>
      </c>
      <c r="G48" s="2">
        <v>3804</v>
      </c>
      <c r="H48" s="2">
        <v>0.113</v>
      </c>
      <c r="I48" s="2">
        <v>11</v>
      </c>
      <c r="J48" s="2">
        <v>90.9</v>
      </c>
      <c r="K48" s="2">
        <v>2.7</v>
      </c>
      <c r="L48" s="2">
        <v>1</v>
      </c>
      <c r="M48" s="2">
        <v>3.2</v>
      </c>
      <c r="N48" s="2">
        <v>614800.09</v>
      </c>
      <c r="O48" s="2">
        <v>100044.2</v>
      </c>
      <c r="P48" s="2">
        <v>0</v>
      </c>
      <c r="Q48" s="2">
        <v>0</v>
      </c>
      <c r="R48" s="2" t="s">
        <v>126</v>
      </c>
    </row>
    <row r="49" spans="1:18" ht="15" customHeight="1">
      <c r="A49" s="2">
        <v>48</v>
      </c>
      <c r="B49" s="2" t="s">
        <v>37</v>
      </c>
      <c r="C49" s="2" t="s">
        <v>20</v>
      </c>
      <c r="D49" s="2" t="s">
        <v>31</v>
      </c>
      <c r="E49" s="2" t="s">
        <v>17</v>
      </c>
      <c r="F49" s="2">
        <v>42093.84</v>
      </c>
      <c r="G49" s="2">
        <v>4074</v>
      </c>
      <c r="H49" s="2">
        <v>0.155</v>
      </c>
      <c r="I49" s="2">
        <v>15</v>
      </c>
      <c r="J49" s="2">
        <v>88</v>
      </c>
      <c r="K49" s="2">
        <v>9.64</v>
      </c>
      <c r="L49" s="2">
        <v>0</v>
      </c>
      <c r="M49" s="2">
        <v>3.3</v>
      </c>
      <c r="N49" s="2">
        <v>585365.73</v>
      </c>
      <c r="O49" s="2">
        <v>81011.520000000004</v>
      </c>
      <c r="P49" s="2">
        <v>0</v>
      </c>
      <c r="Q49" s="2">
        <v>0</v>
      </c>
      <c r="R49" s="2" t="s">
        <v>126</v>
      </c>
    </row>
    <row r="50" spans="1:18" ht="15" customHeight="1">
      <c r="A50" s="2">
        <v>49</v>
      </c>
      <c r="B50" s="2" t="s">
        <v>38</v>
      </c>
      <c r="C50" s="2" t="s">
        <v>15</v>
      </c>
      <c r="D50" s="2" t="s">
        <v>24</v>
      </c>
      <c r="E50" s="2" t="s">
        <v>32</v>
      </c>
      <c r="F50" s="2">
        <v>46624.05</v>
      </c>
      <c r="G50" s="2">
        <v>5104</v>
      </c>
      <c r="H50" s="2">
        <v>0.109</v>
      </c>
      <c r="I50" s="2">
        <v>11</v>
      </c>
      <c r="J50" s="2">
        <v>97.3</v>
      </c>
      <c r="K50" s="2">
        <v>3.49</v>
      </c>
      <c r="L50" s="2">
        <v>1</v>
      </c>
      <c r="M50" s="2">
        <v>4.7</v>
      </c>
      <c r="N50" s="2">
        <v>622811.74</v>
      </c>
      <c r="O50" s="2">
        <v>109978.35</v>
      </c>
      <c r="P50" s="2">
        <v>0</v>
      </c>
      <c r="Q50" s="2">
        <v>0</v>
      </c>
      <c r="R50" s="2" t="s">
        <v>126</v>
      </c>
    </row>
    <row r="51" spans="1:18" ht="15" customHeight="1">
      <c r="A51" s="2">
        <v>50</v>
      </c>
      <c r="B51" s="2" t="s">
        <v>38</v>
      </c>
      <c r="C51" s="2" t="s">
        <v>18</v>
      </c>
      <c r="D51" s="2" t="s">
        <v>24</v>
      </c>
      <c r="E51" s="2" t="s">
        <v>32</v>
      </c>
      <c r="F51" s="2">
        <v>49710.29</v>
      </c>
      <c r="G51" s="2">
        <v>5559</v>
      </c>
      <c r="H51" s="2">
        <v>0.218</v>
      </c>
      <c r="I51" s="2">
        <v>14</v>
      </c>
      <c r="J51" s="2">
        <v>71</v>
      </c>
      <c r="K51" s="2">
        <v>9.11</v>
      </c>
      <c r="L51" s="2">
        <v>0</v>
      </c>
      <c r="M51" s="2">
        <v>4.5999999999999996</v>
      </c>
      <c r="N51" s="2">
        <v>603297.56999999995</v>
      </c>
      <c r="O51" s="2">
        <v>60592.26</v>
      </c>
      <c r="P51" s="2">
        <v>0</v>
      </c>
      <c r="Q51" s="2">
        <v>0</v>
      </c>
      <c r="R51" s="2" t="s">
        <v>126</v>
      </c>
    </row>
    <row r="52" spans="1:18" ht="15" customHeight="1">
      <c r="A52" s="2">
        <v>51</v>
      </c>
      <c r="B52" s="2" t="s">
        <v>38</v>
      </c>
      <c r="C52" s="2" t="s">
        <v>19</v>
      </c>
      <c r="D52" s="2" t="s">
        <v>24</v>
      </c>
      <c r="E52" s="2" t="s">
        <v>32</v>
      </c>
      <c r="F52" s="2">
        <v>48287.85</v>
      </c>
      <c r="G52" s="2">
        <v>5150</v>
      </c>
      <c r="H52" s="2">
        <v>8.0000000000000002E-3</v>
      </c>
      <c r="I52" s="2">
        <v>12</v>
      </c>
      <c r="J52" s="2">
        <v>80.400000000000006</v>
      </c>
      <c r="K52" s="2">
        <v>7.4</v>
      </c>
      <c r="L52" s="2">
        <v>0</v>
      </c>
      <c r="M52" s="2">
        <v>4.5</v>
      </c>
      <c r="N52" s="2">
        <v>625672.86</v>
      </c>
      <c r="O52" s="2">
        <v>118020.12</v>
      </c>
      <c r="P52" s="2">
        <v>0</v>
      </c>
      <c r="Q52" s="2">
        <v>0</v>
      </c>
      <c r="R52" s="2" t="s">
        <v>126</v>
      </c>
    </row>
    <row r="53" spans="1:18" ht="15" customHeight="1">
      <c r="A53" s="2">
        <v>52</v>
      </c>
      <c r="B53" s="2" t="s">
        <v>38</v>
      </c>
      <c r="C53" s="2" t="s">
        <v>20</v>
      </c>
      <c r="D53" s="2" t="s">
        <v>24</v>
      </c>
      <c r="E53" s="2" t="s">
        <v>32</v>
      </c>
      <c r="F53" s="2">
        <v>65312.49</v>
      </c>
      <c r="G53" s="2">
        <v>7189</v>
      </c>
      <c r="H53" s="2">
        <v>0.05</v>
      </c>
      <c r="I53" s="2">
        <v>19</v>
      </c>
      <c r="J53" s="2">
        <v>93.7</v>
      </c>
      <c r="K53" s="2">
        <v>7.16</v>
      </c>
      <c r="L53" s="2">
        <v>0</v>
      </c>
      <c r="M53" s="2">
        <v>4.5999999999999996</v>
      </c>
      <c r="N53" s="2">
        <v>773815.14</v>
      </c>
      <c r="O53" s="2">
        <v>133948.39000000001</v>
      </c>
      <c r="P53" s="2">
        <v>0</v>
      </c>
      <c r="Q53" s="2">
        <v>0</v>
      </c>
      <c r="R53" s="2" t="s">
        <v>126</v>
      </c>
    </row>
    <row r="54" spans="1:18" ht="15" customHeight="1">
      <c r="A54" s="2">
        <v>53</v>
      </c>
      <c r="B54" s="2" t="s">
        <v>39</v>
      </c>
      <c r="C54" s="2" t="s">
        <v>15</v>
      </c>
      <c r="D54" s="2" t="s">
        <v>31</v>
      </c>
      <c r="E54" s="2" t="s">
        <v>22</v>
      </c>
      <c r="F54" s="2">
        <v>53015.46</v>
      </c>
      <c r="G54" s="2">
        <v>3279</v>
      </c>
      <c r="H54" s="2">
        <v>8.6999999999999994E-2</v>
      </c>
      <c r="I54" s="2">
        <v>9</v>
      </c>
      <c r="J54" s="2">
        <v>84.3</v>
      </c>
      <c r="K54" s="2">
        <v>22.02</v>
      </c>
      <c r="L54" s="2">
        <v>0</v>
      </c>
      <c r="M54" s="2">
        <v>3.9</v>
      </c>
      <c r="N54" s="2">
        <v>463534.25</v>
      </c>
      <c r="O54" s="2">
        <v>81834.539999999994</v>
      </c>
      <c r="P54" s="2">
        <v>0</v>
      </c>
      <c r="Q54" s="2">
        <v>0</v>
      </c>
      <c r="R54" s="2" t="s">
        <v>126</v>
      </c>
    </row>
    <row r="55" spans="1:18" ht="15" customHeight="1">
      <c r="A55" s="2">
        <v>54</v>
      </c>
      <c r="B55" s="2" t="s">
        <v>39</v>
      </c>
      <c r="C55" s="2" t="s">
        <v>18</v>
      </c>
      <c r="D55" s="2" t="s">
        <v>31</v>
      </c>
      <c r="E55" s="2" t="s">
        <v>22</v>
      </c>
      <c r="F55" s="2">
        <v>99874.01</v>
      </c>
      <c r="G55" s="2">
        <v>5887</v>
      </c>
      <c r="H55" s="2">
        <v>0.26200000000000001</v>
      </c>
      <c r="I55" s="2">
        <v>14</v>
      </c>
      <c r="J55" s="2">
        <v>88.7</v>
      </c>
      <c r="K55" s="2">
        <v>6.18</v>
      </c>
      <c r="L55" s="2">
        <v>0</v>
      </c>
      <c r="M55" s="2">
        <v>4.7</v>
      </c>
      <c r="N55" s="2">
        <v>746677.75</v>
      </c>
      <c r="O55" s="2">
        <v>122437.84</v>
      </c>
      <c r="P55" s="2">
        <v>0</v>
      </c>
      <c r="Q55" s="2">
        <v>0</v>
      </c>
      <c r="R55" s="2" t="s">
        <v>126</v>
      </c>
    </row>
    <row r="56" spans="1:18" ht="15" customHeight="1">
      <c r="A56" s="2">
        <v>55</v>
      </c>
      <c r="B56" s="2" t="s">
        <v>39</v>
      </c>
      <c r="C56" s="2" t="s">
        <v>19</v>
      </c>
      <c r="D56" s="2" t="s">
        <v>31</v>
      </c>
      <c r="E56" s="2" t="s">
        <v>22</v>
      </c>
      <c r="F56" s="2">
        <v>81195.5</v>
      </c>
      <c r="G56" s="2">
        <v>5516</v>
      </c>
      <c r="H56" s="2">
        <v>0.106</v>
      </c>
      <c r="I56" s="2">
        <v>14</v>
      </c>
      <c r="J56" s="2">
        <v>88</v>
      </c>
      <c r="K56" s="2">
        <v>1.76</v>
      </c>
      <c r="L56" s="2">
        <v>0</v>
      </c>
      <c r="M56" s="2">
        <v>4.3</v>
      </c>
      <c r="N56" s="2">
        <v>720852.5</v>
      </c>
      <c r="O56" s="2">
        <v>98565.62</v>
      </c>
      <c r="P56" s="2">
        <v>0</v>
      </c>
      <c r="Q56" s="2">
        <v>0</v>
      </c>
      <c r="R56" s="2" t="s">
        <v>126</v>
      </c>
    </row>
    <row r="57" spans="1:18" ht="15" customHeight="1">
      <c r="A57" s="2">
        <v>56</v>
      </c>
      <c r="B57" s="2" t="s">
        <v>39</v>
      </c>
      <c r="C57" s="2" t="s">
        <v>20</v>
      </c>
      <c r="D57" s="2" t="s">
        <v>31</v>
      </c>
      <c r="E57" s="2" t="s">
        <v>22</v>
      </c>
      <c r="F57" s="2">
        <v>27808.6</v>
      </c>
      <c r="G57" s="2">
        <v>2863</v>
      </c>
      <c r="H57" s="2">
        <v>0.08</v>
      </c>
      <c r="I57" s="2">
        <v>13</v>
      </c>
      <c r="J57" s="2">
        <v>89.3</v>
      </c>
      <c r="K57" s="2">
        <v>0.47</v>
      </c>
      <c r="L57" s="2">
        <v>0</v>
      </c>
      <c r="M57" s="2">
        <v>4.0999999999999996</v>
      </c>
      <c r="N57" s="2">
        <v>487464.91</v>
      </c>
      <c r="O57" s="2">
        <v>64562.26</v>
      </c>
      <c r="P57" s="2">
        <v>0</v>
      </c>
      <c r="Q57" s="2">
        <v>0</v>
      </c>
      <c r="R57" s="2" t="s">
        <v>126</v>
      </c>
    </row>
    <row r="58" spans="1:18" ht="15" customHeight="1">
      <c r="A58" s="2">
        <v>57</v>
      </c>
      <c r="B58" s="2" t="s">
        <v>40</v>
      </c>
      <c r="C58" s="2" t="s">
        <v>15</v>
      </c>
      <c r="D58" s="2" t="s">
        <v>16</v>
      </c>
      <c r="E58" s="2" t="s">
        <v>25</v>
      </c>
      <c r="F58" s="2">
        <v>19365.060000000001</v>
      </c>
      <c r="G58" s="2">
        <v>2378</v>
      </c>
      <c r="H58" s="2">
        <v>0</v>
      </c>
      <c r="I58" s="2">
        <v>12</v>
      </c>
      <c r="J58" s="2">
        <v>94.8</v>
      </c>
      <c r="K58" s="2">
        <v>0.2</v>
      </c>
      <c r="L58" s="2">
        <v>0</v>
      </c>
      <c r="M58" s="2">
        <v>3.5</v>
      </c>
      <c r="N58" s="2">
        <v>518049.26</v>
      </c>
      <c r="O58" s="2">
        <v>108592.49</v>
      </c>
      <c r="P58" s="2">
        <v>0</v>
      </c>
      <c r="Q58" s="2">
        <v>0</v>
      </c>
      <c r="R58" s="2" t="s">
        <v>126</v>
      </c>
    </row>
    <row r="59" spans="1:18" ht="15" customHeight="1">
      <c r="A59" s="2">
        <v>58</v>
      </c>
      <c r="B59" s="2" t="s">
        <v>40</v>
      </c>
      <c r="C59" s="2" t="s">
        <v>18</v>
      </c>
      <c r="D59" s="2" t="s">
        <v>16</v>
      </c>
      <c r="E59" s="2" t="s">
        <v>25</v>
      </c>
      <c r="F59" s="2">
        <v>59405.68</v>
      </c>
      <c r="G59" s="2">
        <v>2515</v>
      </c>
      <c r="H59" s="2">
        <v>3.9E-2</v>
      </c>
      <c r="I59" s="2">
        <v>12</v>
      </c>
      <c r="J59" s="2">
        <v>76</v>
      </c>
      <c r="K59" s="2">
        <v>5.1100000000000003</v>
      </c>
      <c r="L59" s="2">
        <v>0</v>
      </c>
      <c r="M59" s="2">
        <v>3.7</v>
      </c>
      <c r="N59" s="2">
        <v>500298.48</v>
      </c>
      <c r="O59" s="2">
        <v>73461.320000000007</v>
      </c>
      <c r="P59" s="2">
        <v>0</v>
      </c>
      <c r="Q59" s="2">
        <v>0</v>
      </c>
      <c r="R59" s="2" t="s">
        <v>126</v>
      </c>
    </row>
    <row r="60" spans="1:18" ht="15" customHeight="1">
      <c r="A60" s="2">
        <v>59</v>
      </c>
      <c r="B60" s="2" t="s">
        <v>40</v>
      </c>
      <c r="C60" s="2" t="s">
        <v>19</v>
      </c>
      <c r="D60" s="2" t="s">
        <v>16</v>
      </c>
      <c r="E60" s="2" t="s">
        <v>25</v>
      </c>
      <c r="F60" s="2">
        <v>118910.48</v>
      </c>
      <c r="G60" s="2">
        <v>4022</v>
      </c>
      <c r="H60" s="2">
        <v>0.13700000000000001</v>
      </c>
      <c r="I60" s="2">
        <v>11</v>
      </c>
      <c r="J60" s="2">
        <v>87.1</v>
      </c>
      <c r="K60" s="2">
        <v>0.2</v>
      </c>
      <c r="L60" s="2">
        <v>0</v>
      </c>
      <c r="M60" s="2">
        <v>3.1</v>
      </c>
      <c r="N60" s="2">
        <v>617291.15</v>
      </c>
      <c r="O60" s="2">
        <v>117782</v>
      </c>
      <c r="P60" s="2">
        <v>0</v>
      </c>
      <c r="Q60" s="2">
        <v>0</v>
      </c>
      <c r="R60" s="2" t="s">
        <v>126</v>
      </c>
    </row>
    <row r="61" spans="1:18" ht="15" customHeight="1">
      <c r="A61" s="2">
        <v>60</v>
      </c>
      <c r="B61" s="2" t="s">
        <v>40</v>
      </c>
      <c r="C61" s="2" t="s">
        <v>20</v>
      </c>
      <c r="D61" s="2" t="s">
        <v>16</v>
      </c>
      <c r="E61" s="2" t="s">
        <v>25</v>
      </c>
      <c r="F61" s="2">
        <v>52952.12</v>
      </c>
      <c r="G61" s="2">
        <v>4377</v>
      </c>
      <c r="H61" s="2">
        <v>9.1999999999999998E-2</v>
      </c>
      <c r="I61" s="2">
        <v>14</v>
      </c>
      <c r="J61" s="2">
        <v>88.6</v>
      </c>
      <c r="K61" s="2">
        <v>13.59</v>
      </c>
      <c r="L61" s="2">
        <v>0</v>
      </c>
      <c r="M61" s="2">
        <v>3.1</v>
      </c>
      <c r="N61" s="2">
        <v>553756.43000000005</v>
      </c>
      <c r="O61" s="2">
        <v>86166.77</v>
      </c>
      <c r="P61" s="2">
        <v>0</v>
      </c>
      <c r="Q61" s="2">
        <v>0</v>
      </c>
      <c r="R61" s="2" t="s">
        <v>126</v>
      </c>
    </row>
    <row r="62" spans="1:18" ht="15" customHeight="1">
      <c r="A62" s="2">
        <v>61</v>
      </c>
      <c r="B62" s="2" t="s">
        <v>41</v>
      </c>
      <c r="C62" s="2" t="s">
        <v>15</v>
      </c>
      <c r="D62" s="2" t="s">
        <v>28</v>
      </c>
      <c r="E62" s="2" t="s">
        <v>22</v>
      </c>
      <c r="F62" s="2">
        <v>74907.98</v>
      </c>
      <c r="G62" s="2">
        <v>5306</v>
      </c>
      <c r="H62" s="2">
        <v>6.2E-2</v>
      </c>
      <c r="I62" s="2">
        <v>16</v>
      </c>
      <c r="J62" s="2">
        <v>95.6</v>
      </c>
      <c r="K62" s="2">
        <v>1.02</v>
      </c>
      <c r="L62" s="2">
        <v>0</v>
      </c>
      <c r="M62" s="2">
        <v>3.7</v>
      </c>
      <c r="N62" s="2">
        <v>749559.71</v>
      </c>
      <c r="O62" s="2">
        <v>144522.53</v>
      </c>
      <c r="P62" s="2">
        <v>0</v>
      </c>
      <c r="Q62" s="2">
        <v>0</v>
      </c>
      <c r="R62" s="2" t="s">
        <v>126</v>
      </c>
    </row>
    <row r="63" spans="1:18" ht="15" customHeight="1">
      <c r="A63" s="2">
        <v>62</v>
      </c>
      <c r="B63" s="2" t="s">
        <v>41</v>
      </c>
      <c r="C63" s="2" t="s">
        <v>18</v>
      </c>
      <c r="D63" s="2" t="s">
        <v>28</v>
      </c>
      <c r="E63" s="2" t="s">
        <v>22</v>
      </c>
      <c r="F63" s="2">
        <v>37284.660000000003</v>
      </c>
      <c r="G63" s="2">
        <v>3928</v>
      </c>
      <c r="H63" s="2">
        <v>7.3999999999999996E-2</v>
      </c>
      <c r="I63" s="2">
        <v>12</v>
      </c>
      <c r="J63" s="2">
        <v>86.5</v>
      </c>
      <c r="K63" s="2">
        <v>1.64</v>
      </c>
      <c r="L63" s="2">
        <v>0</v>
      </c>
      <c r="M63" s="2">
        <v>3.8</v>
      </c>
      <c r="N63" s="2">
        <v>615966.48</v>
      </c>
      <c r="O63" s="2">
        <v>91509.38</v>
      </c>
      <c r="P63" s="2">
        <v>0</v>
      </c>
      <c r="Q63" s="2">
        <v>0</v>
      </c>
      <c r="R63" s="2" t="s">
        <v>126</v>
      </c>
    </row>
    <row r="64" spans="1:18" ht="15" customHeight="1">
      <c r="A64" s="2">
        <v>63</v>
      </c>
      <c r="B64" s="2" t="s">
        <v>41</v>
      </c>
      <c r="C64" s="2" t="s">
        <v>19</v>
      </c>
      <c r="D64" s="2" t="s">
        <v>28</v>
      </c>
      <c r="E64" s="2" t="s">
        <v>22</v>
      </c>
      <c r="F64" s="2">
        <v>50343.19</v>
      </c>
      <c r="G64" s="2">
        <v>3845</v>
      </c>
      <c r="H64" s="2">
        <v>0.113</v>
      </c>
      <c r="I64" s="2">
        <v>9</v>
      </c>
      <c r="J64" s="2">
        <v>88.7</v>
      </c>
      <c r="K64" s="2">
        <v>5.15</v>
      </c>
      <c r="L64" s="2">
        <v>0</v>
      </c>
      <c r="M64" s="2">
        <v>3.3</v>
      </c>
      <c r="N64" s="2">
        <v>572011.19999999995</v>
      </c>
      <c r="O64" s="2">
        <v>101409.68</v>
      </c>
      <c r="P64" s="2">
        <v>0</v>
      </c>
      <c r="Q64" s="2">
        <v>0</v>
      </c>
      <c r="R64" s="2" t="s">
        <v>126</v>
      </c>
    </row>
    <row r="65" spans="1:18" ht="15" customHeight="1">
      <c r="A65" s="2">
        <v>64</v>
      </c>
      <c r="B65" s="2" t="s">
        <v>41</v>
      </c>
      <c r="C65" s="2" t="s">
        <v>20</v>
      </c>
      <c r="D65" s="2" t="s">
        <v>28</v>
      </c>
      <c r="E65" s="2" t="s">
        <v>22</v>
      </c>
      <c r="F65" s="2">
        <v>74954.47</v>
      </c>
      <c r="G65" s="2">
        <v>6620</v>
      </c>
      <c r="H65" s="2">
        <v>5.3999999999999999E-2</v>
      </c>
      <c r="I65" s="2">
        <v>17</v>
      </c>
      <c r="J65" s="2">
        <v>91.1</v>
      </c>
      <c r="K65" s="2">
        <v>1.1100000000000001</v>
      </c>
      <c r="L65" s="2">
        <v>0</v>
      </c>
      <c r="M65" s="2">
        <v>3.5</v>
      </c>
      <c r="N65" s="2">
        <v>761860.19</v>
      </c>
      <c r="O65" s="2">
        <v>133279.38</v>
      </c>
      <c r="P65" s="2">
        <v>0</v>
      </c>
      <c r="Q65" s="2">
        <v>0</v>
      </c>
      <c r="R65" s="2" t="s">
        <v>126</v>
      </c>
    </row>
    <row r="66" spans="1:18" ht="15" customHeight="1">
      <c r="A66" s="2">
        <v>65</v>
      </c>
      <c r="B66" s="2" t="s">
        <v>42</v>
      </c>
      <c r="C66" s="2" t="s">
        <v>15</v>
      </c>
      <c r="D66" s="2" t="s">
        <v>31</v>
      </c>
      <c r="E66" s="2" t="s">
        <v>22</v>
      </c>
      <c r="F66" s="2">
        <v>70040.31</v>
      </c>
      <c r="G66" s="2">
        <v>9175</v>
      </c>
      <c r="H66" s="2">
        <v>0.107</v>
      </c>
      <c r="I66" s="2">
        <v>23</v>
      </c>
      <c r="J66" s="2">
        <v>95.1</v>
      </c>
      <c r="K66" s="2">
        <v>6.08</v>
      </c>
      <c r="L66" s="2">
        <v>1</v>
      </c>
      <c r="M66" s="2">
        <v>3.4</v>
      </c>
      <c r="N66" s="2">
        <v>784502.68</v>
      </c>
      <c r="O66" s="2">
        <v>129519.72</v>
      </c>
      <c r="P66" s="2">
        <v>0</v>
      </c>
      <c r="Q66" s="2">
        <v>0</v>
      </c>
      <c r="R66" s="2" t="s">
        <v>126</v>
      </c>
    </row>
    <row r="67" spans="1:18" ht="15" customHeight="1">
      <c r="A67" s="2">
        <v>66</v>
      </c>
      <c r="B67" s="2" t="s">
        <v>42</v>
      </c>
      <c r="C67" s="2" t="s">
        <v>18</v>
      </c>
      <c r="D67" s="2" t="s">
        <v>31</v>
      </c>
      <c r="E67" s="2" t="s">
        <v>22</v>
      </c>
      <c r="F67" s="2">
        <v>51148.69</v>
      </c>
      <c r="G67" s="2">
        <v>7940</v>
      </c>
      <c r="H67" s="2">
        <v>0.156</v>
      </c>
      <c r="I67" s="2">
        <v>18</v>
      </c>
      <c r="J67" s="2">
        <v>93.3</v>
      </c>
      <c r="K67" s="2">
        <v>10.91</v>
      </c>
      <c r="L67" s="2">
        <v>0</v>
      </c>
      <c r="M67" s="2">
        <v>3.6</v>
      </c>
      <c r="N67" s="2">
        <v>717141.55</v>
      </c>
      <c r="O67" s="2">
        <v>134013.60999999999</v>
      </c>
      <c r="P67" s="2">
        <v>0</v>
      </c>
      <c r="Q67" s="2">
        <v>0</v>
      </c>
      <c r="R67" s="2" t="s">
        <v>126</v>
      </c>
    </row>
    <row r="68" spans="1:18" ht="15" customHeight="1">
      <c r="A68" s="2">
        <v>67</v>
      </c>
      <c r="B68" s="2" t="s">
        <v>42</v>
      </c>
      <c r="C68" s="2" t="s">
        <v>19</v>
      </c>
      <c r="D68" s="2" t="s">
        <v>31</v>
      </c>
      <c r="E68" s="2" t="s">
        <v>22</v>
      </c>
      <c r="F68" s="2">
        <v>79346.100000000006</v>
      </c>
      <c r="G68" s="2">
        <v>9628</v>
      </c>
      <c r="H68" s="2">
        <v>0.10199999999999999</v>
      </c>
      <c r="I68" s="2">
        <v>20</v>
      </c>
      <c r="J68" s="2">
        <v>99</v>
      </c>
      <c r="K68" s="2">
        <v>19.010000000000002</v>
      </c>
      <c r="L68" s="2">
        <v>1</v>
      </c>
      <c r="M68" s="2">
        <v>3.2</v>
      </c>
      <c r="N68" s="2">
        <v>685379.08</v>
      </c>
      <c r="O68" s="2">
        <v>106898.82</v>
      </c>
      <c r="P68" s="2">
        <v>0</v>
      </c>
      <c r="Q68" s="2">
        <v>0</v>
      </c>
      <c r="R68" s="2" t="s">
        <v>126</v>
      </c>
    </row>
    <row r="69" spans="1:18" ht="15" customHeight="1">
      <c r="A69" s="2">
        <v>68</v>
      </c>
      <c r="B69" s="2" t="s">
        <v>42</v>
      </c>
      <c r="C69" s="2" t="s">
        <v>20</v>
      </c>
      <c r="D69" s="2" t="s">
        <v>31</v>
      </c>
      <c r="E69" s="2" t="s">
        <v>22</v>
      </c>
      <c r="F69" s="2">
        <v>42018.400000000001</v>
      </c>
      <c r="G69" s="2">
        <v>8296</v>
      </c>
      <c r="H69" s="2">
        <v>0.115</v>
      </c>
      <c r="I69" s="2">
        <v>17</v>
      </c>
      <c r="J69" s="2">
        <v>91.8</v>
      </c>
      <c r="K69" s="2">
        <v>0.77</v>
      </c>
      <c r="L69" s="2">
        <v>0</v>
      </c>
      <c r="M69" s="2">
        <v>3.4</v>
      </c>
      <c r="N69" s="2">
        <v>740496.65</v>
      </c>
      <c r="O69" s="2">
        <v>128020.9</v>
      </c>
      <c r="P69" s="2">
        <v>0</v>
      </c>
      <c r="Q69" s="2">
        <v>0</v>
      </c>
      <c r="R69" s="2" t="s">
        <v>126</v>
      </c>
    </row>
    <row r="70" spans="1:18" ht="15" customHeight="1">
      <c r="A70" s="2">
        <v>69</v>
      </c>
      <c r="B70" s="2" t="s">
        <v>43</v>
      </c>
      <c r="C70" s="2" t="s">
        <v>15</v>
      </c>
      <c r="D70" s="2" t="s">
        <v>16</v>
      </c>
      <c r="E70" s="2" t="s">
        <v>22</v>
      </c>
      <c r="F70" s="2">
        <v>70937.240000000005</v>
      </c>
      <c r="G70" s="2">
        <v>3595</v>
      </c>
      <c r="H70" s="2">
        <v>0.14099999999999999</v>
      </c>
      <c r="I70" s="2">
        <v>11</v>
      </c>
      <c r="J70" s="2">
        <v>88.9</v>
      </c>
      <c r="K70" s="2">
        <v>2.83</v>
      </c>
      <c r="L70" s="2">
        <v>1</v>
      </c>
      <c r="M70" s="2">
        <v>3.3</v>
      </c>
      <c r="N70" s="2">
        <v>661927.14</v>
      </c>
      <c r="O70" s="2">
        <v>79218.570000000007</v>
      </c>
      <c r="P70" s="2">
        <v>0</v>
      </c>
      <c r="Q70" s="2">
        <v>0</v>
      </c>
      <c r="R70" s="2" t="s">
        <v>126</v>
      </c>
    </row>
    <row r="71" spans="1:18" ht="15" customHeight="1">
      <c r="A71" s="2">
        <v>70</v>
      </c>
      <c r="B71" s="2" t="s">
        <v>43</v>
      </c>
      <c r="C71" s="2" t="s">
        <v>18</v>
      </c>
      <c r="D71" s="2" t="s">
        <v>16</v>
      </c>
      <c r="E71" s="2" t="s">
        <v>22</v>
      </c>
      <c r="F71" s="2">
        <v>36813.449999999997</v>
      </c>
      <c r="G71" s="2">
        <v>2834</v>
      </c>
      <c r="H71" s="2">
        <v>0.191</v>
      </c>
      <c r="I71" s="2">
        <v>11</v>
      </c>
      <c r="J71" s="2">
        <v>81.8</v>
      </c>
      <c r="K71" s="2">
        <v>2.33</v>
      </c>
      <c r="L71" s="2">
        <v>0</v>
      </c>
      <c r="M71" s="2">
        <v>3.3</v>
      </c>
      <c r="N71" s="2">
        <v>479050.5</v>
      </c>
      <c r="O71" s="2">
        <v>53651.11</v>
      </c>
      <c r="P71" s="2">
        <v>0</v>
      </c>
      <c r="Q71" s="2">
        <v>0</v>
      </c>
      <c r="R71" s="2" t="s">
        <v>126</v>
      </c>
    </row>
    <row r="72" spans="1:18" ht="15" customHeight="1">
      <c r="A72" s="2">
        <v>71</v>
      </c>
      <c r="B72" s="2" t="s">
        <v>43</v>
      </c>
      <c r="C72" s="2" t="s">
        <v>19</v>
      </c>
      <c r="D72" s="2" t="s">
        <v>16</v>
      </c>
      <c r="E72" s="2" t="s">
        <v>22</v>
      </c>
      <c r="F72" s="2">
        <v>60571.82</v>
      </c>
      <c r="G72" s="2">
        <v>3193</v>
      </c>
      <c r="H72" s="2">
        <v>0.19700000000000001</v>
      </c>
      <c r="I72" s="2">
        <v>7</v>
      </c>
      <c r="J72" s="2">
        <v>99</v>
      </c>
      <c r="K72" s="2">
        <v>1.43</v>
      </c>
      <c r="L72" s="2">
        <v>0</v>
      </c>
      <c r="M72" s="2">
        <v>3.2</v>
      </c>
      <c r="N72" s="2">
        <v>605023.87</v>
      </c>
      <c r="O72" s="2">
        <v>98545.81</v>
      </c>
      <c r="P72" s="2">
        <v>0</v>
      </c>
      <c r="Q72" s="2">
        <v>0</v>
      </c>
      <c r="R72" s="2" t="s">
        <v>126</v>
      </c>
    </row>
    <row r="73" spans="1:18" ht="15" customHeight="1">
      <c r="A73" s="2">
        <v>72</v>
      </c>
      <c r="B73" s="2" t="s">
        <v>43</v>
      </c>
      <c r="C73" s="2" t="s">
        <v>20</v>
      </c>
      <c r="D73" s="2" t="s">
        <v>16</v>
      </c>
      <c r="E73" s="2" t="s">
        <v>22</v>
      </c>
      <c r="F73" s="2">
        <v>55081.16</v>
      </c>
      <c r="G73" s="2">
        <v>5485</v>
      </c>
      <c r="H73" s="2">
        <v>3.5999999999999997E-2</v>
      </c>
      <c r="I73" s="2">
        <v>12</v>
      </c>
      <c r="J73" s="2">
        <v>88</v>
      </c>
      <c r="K73" s="2">
        <v>3.3650000000000002</v>
      </c>
      <c r="L73" s="2">
        <v>0</v>
      </c>
      <c r="M73" s="2">
        <v>3.5</v>
      </c>
      <c r="N73" s="2">
        <v>674774.09</v>
      </c>
      <c r="O73" s="2">
        <v>141917.59</v>
      </c>
      <c r="P73" s="2">
        <v>0</v>
      </c>
      <c r="Q73" s="2">
        <v>1</v>
      </c>
      <c r="R73" s="2" t="s">
        <v>128</v>
      </c>
    </row>
    <row r="74" spans="1:18" ht="15" customHeight="1">
      <c r="A74" s="2">
        <v>73</v>
      </c>
      <c r="B74" s="2" t="s">
        <v>44</v>
      </c>
      <c r="C74" s="2" t="s">
        <v>15</v>
      </c>
      <c r="D74" s="2" t="s">
        <v>16</v>
      </c>
      <c r="E74" s="2" t="s">
        <v>17</v>
      </c>
      <c r="F74" s="2">
        <v>46201.46</v>
      </c>
      <c r="G74" s="2">
        <v>5918</v>
      </c>
      <c r="H74" s="2">
        <v>0.27700000000000002</v>
      </c>
      <c r="I74" s="2">
        <v>13</v>
      </c>
      <c r="J74" s="2">
        <v>78.8</v>
      </c>
      <c r="K74" s="2">
        <v>4.91</v>
      </c>
      <c r="L74" s="2">
        <v>0</v>
      </c>
      <c r="M74" s="2">
        <v>4.5</v>
      </c>
      <c r="N74" s="2">
        <v>616069.41</v>
      </c>
      <c r="O74" s="2">
        <v>54453.99</v>
      </c>
      <c r="P74" s="2">
        <v>0</v>
      </c>
      <c r="Q74" s="2">
        <v>0</v>
      </c>
      <c r="R74" s="2" t="s">
        <v>126</v>
      </c>
    </row>
    <row r="75" spans="1:18" ht="15" customHeight="1">
      <c r="A75" s="2">
        <v>74</v>
      </c>
      <c r="B75" s="2" t="s">
        <v>44</v>
      </c>
      <c r="C75" s="2" t="s">
        <v>18</v>
      </c>
      <c r="D75" s="2" t="s">
        <v>16</v>
      </c>
      <c r="E75" s="2" t="s">
        <v>17</v>
      </c>
      <c r="F75" s="2">
        <v>53762.92</v>
      </c>
      <c r="G75" s="2">
        <v>6821</v>
      </c>
      <c r="H75" s="2">
        <v>6.6000000000000003E-2</v>
      </c>
      <c r="I75" s="2">
        <v>19</v>
      </c>
      <c r="J75" s="2">
        <v>94.6</v>
      </c>
      <c r="K75" s="2">
        <v>7.03</v>
      </c>
      <c r="L75" s="2">
        <v>0</v>
      </c>
      <c r="M75" s="2">
        <v>4.4000000000000004</v>
      </c>
      <c r="N75" s="2">
        <v>630829.93999999994</v>
      </c>
      <c r="O75" s="2">
        <v>117090.02</v>
      </c>
      <c r="P75" s="2">
        <v>0</v>
      </c>
      <c r="Q75" s="2">
        <v>0</v>
      </c>
      <c r="R75" s="2" t="s">
        <v>126</v>
      </c>
    </row>
    <row r="76" spans="1:18" ht="15" customHeight="1">
      <c r="A76" s="2">
        <v>75</v>
      </c>
      <c r="B76" s="2" t="s">
        <v>44</v>
      </c>
      <c r="C76" s="2" t="s">
        <v>19</v>
      </c>
      <c r="D76" s="2" t="s">
        <v>16</v>
      </c>
      <c r="E76" s="2" t="s">
        <v>17</v>
      </c>
      <c r="F76" s="2">
        <v>70144.78</v>
      </c>
      <c r="G76" s="2">
        <v>6806</v>
      </c>
      <c r="H76" s="2">
        <v>0.17799999999999999</v>
      </c>
      <c r="I76" s="2">
        <v>20</v>
      </c>
      <c r="J76" s="2">
        <v>93.1</v>
      </c>
      <c r="K76" s="2">
        <v>0.28000000000000003</v>
      </c>
      <c r="L76" s="2">
        <v>1</v>
      </c>
      <c r="M76" s="2">
        <v>4.3</v>
      </c>
      <c r="N76" s="2">
        <v>788087.68</v>
      </c>
      <c r="O76" s="2">
        <v>116803.42</v>
      </c>
      <c r="P76" s="2">
        <v>0</v>
      </c>
      <c r="Q76" s="2">
        <v>0</v>
      </c>
      <c r="R76" s="2" t="s">
        <v>126</v>
      </c>
    </row>
    <row r="77" spans="1:18" ht="15" customHeight="1">
      <c r="A77" s="2">
        <v>76</v>
      </c>
      <c r="B77" s="2" t="s">
        <v>44</v>
      </c>
      <c r="C77" s="2" t="s">
        <v>20</v>
      </c>
      <c r="D77" s="2" t="s">
        <v>16</v>
      </c>
      <c r="E77" s="2" t="s">
        <v>17</v>
      </c>
      <c r="F77" s="2">
        <v>58749.63</v>
      </c>
      <c r="G77" s="2">
        <v>8252</v>
      </c>
      <c r="H77" s="2">
        <v>0.20300000000000001</v>
      </c>
      <c r="I77" s="2">
        <v>20</v>
      </c>
      <c r="J77" s="2">
        <v>85.2</v>
      </c>
      <c r="K77" s="2">
        <v>3.61</v>
      </c>
      <c r="L77" s="2">
        <v>0</v>
      </c>
      <c r="M77" s="2">
        <v>4.5</v>
      </c>
      <c r="N77" s="2">
        <v>680840.36</v>
      </c>
      <c r="O77" s="2">
        <v>68007.679999999993</v>
      </c>
      <c r="P77" s="2">
        <v>0</v>
      </c>
      <c r="Q77" s="2">
        <v>0</v>
      </c>
      <c r="R77" s="2" t="s">
        <v>126</v>
      </c>
    </row>
    <row r="78" spans="1:18" ht="15" customHeight="1">
      <c r="A78" s="2">
        <v>77</v>
      </c>
      <c r="B78" s="2" t="s">
        <v>45</v>
      </c>
      <c r="C78" s="2" t="s">
        <v>15</v>
      </c>
      <c r="D78" s="2" t="s">
        <v>28</v>
      </c>
      <c r="E78" s="2" t="s">
        <v>22</v>
      </c>
      <c r="F78" s="2">
        <v>56973.18</v>
      </c>
      <c r="G78" s="2">
        <v>6662</v>
      </c>
      <c r="H78" s="2">
        <v>0.1</v>
      </c>
      <c r="I78" s="2">
        <v>15</v>
      </c>
      <c r="J78" s="2">
        <v>77.7</v>
      </c>
      <c r="K78" s="2">
        <v>7.52</v>
      </c>
      <c r="L78" s="2">
        <v>1</v>
      </c>
      <c r="M78" s="2">
        <v>3.2</v>
      </c>
      <c r="N78" s="2">
        <v>643657.47</v>
      </c>
      <c r="O78" s="2">
        <v>87022.45</v>
      </c>
      <c r="P78" s="2">
        <v>0</v>
      </c>
      <c r="Q78" s="2">
        <v>0</v>
      </c>
      <c r="R78" s="2" t="s">
        <v>126</v>
      </c>
    </row>
    <row r="79" spans="1:18" ht="15" customHeight="1">
      <c r="A79" s="2">
        <v>78</v>
      </c>
      <c r="B79" s="2" t="s">
        <v>45</v>
      </c>
      <c r="C79" s="2" t="s">
        <v>18</v>
      </c>
      <c r="D79" s="2" t="s">
        <v>28</v>
      </c>
      <c r="E79" s="2" t="s">
        <v>22</v>
      </c>
      <c r="F79" s="2">
        <v>54872.82</v>
      </c>
      <c r="G79" s="2">
        <v>5962</v>
      </c>
      <c r="H79" s="2">
        <v>6.4000000000000001E-2</v>
      </c>
      <c r="I79" s="2">
        <v>12</v>
      </c>
      <c r="J79" s="2">
        <v>85.4</v>
      </c>
      <c r="K79" s="2">
        <v>2.58</v>
      </c>
      <c r="L79" s="2">
        <v>0</v>
      </c>
      <c r="M79" s="2">
        <v>2.9</v>
      </c>
      <c r="N79" s="2">
        <v>691112.6</v>
      </c>
      <c r="O79" s="2">
        <v>109212.83</v>
      </c>
      <c r="P79" s="2">
        <v>0</v>
      </c>
      <c r="Q79" s="2">
        <v>0</v>
      </c>
      <c r="R79" s="2" t="s">
        <v>126</v>
      </c>
    </row>
    <row r="80" spans="1:18" ht="15" customHeight="1">
      <c r="A80" s="2">
        <v>79</v>
      </c>
      <c r="B80" s="2" t="s">
        <v>45</v>
      </c>
      <c r="C80" s="2" t="s">
        <v>19</v>
      </c>
      <c r="D80" s="2" t="s">
        <v>28</v>
      </c>
      <c r="E80" s="2" t="s">
        <v>22</v>
      </c>
      <c r="F80" s="2">
        <v>80562.81</v>
      </c>
      <c r="G80" s="2">
        <v>7470</v>
      </c>
      <c r="H80" s="2">
        <v>0.17199999999999999</v>
      </c>
      <c r="I80" s="2">
        <v>16</v>
      </c>
      <c r="J80" s="2">
        <v>83.5</v>
      </c>
      <c r="K80" s="2">
        <v>2.29</v>
      </c>
      <c r="L80" s="2">
        <v>0</v>
      </c>
      <c r="M80" s="2">
        <v>3.3</v>
      </c>
      <c r="N80" s="2">
        <v>776922.17</v>
      </c>
      <c r="O80" s="2">
        <v>150701.93</v>
      </c>
      <c r="P80" s="2">
        <v>0</v>
      </c>
      <c r="Q80" s="2">
        <v>0</v>
      </c>
      <c r="R80" s="2" t="s">
        <v>126</v>
      </c>
    </row>
    <row r="81" spans="1:18" ht="15" customHeight="1">
      <c r="A81" s="2">
        <v>80</v>
      </c>
      <c r="B81" s="2" t="s">
        <v>45</v>
      </c>
      <c r="C81" s="2" t="s">
        <v>20</v>
      </c>
      <c r="D81" s="2" t="s">
        <v>28</v>
      </c>
      <c r="E81" s="2" t="s">
        <v>22</v>
      </c>
      <c r="F81" s="2">
        <v>77999.899999999994</v>
      </c>
      <c r="G81" s="2">
        <v>5974</v>
      </c>
      <c r="H81" s="2">
        <v>0.252</v>
      </c>
      <c r="I81" s="2">
        <v>14</v>
      </c>
      <c r="J81" s="2">
        <v>81.3</v>
      </c>
      <c r="K81" s="2">
        <v>2.39</v>
      </c>
      <c r="L81" s="2">
        <v>0</v>
      </c>
      <c r="M81" s="2">
        <v>3.2</v>
      </c>
      <c r="N81" s="2">
        <v>636561.34</v>
      </c>
      <c r="O81" s="2">
        <v>93861.06</v>
      </c>
      <c r="P81" s="2">
        <v>0</v>
      </c>
      <c r="Q81" s="2">
        <v>0</v>
      </c>
      <c r="R81" s="2" t="s">
        <v>126</v>
      </c>
    </row>
    <row r="82" spans="1:18" ht="15" customHeight="1">
      <c r="A82" s="2">
        <v>81</v>
      </c>
      <c r="B82" s="2" t="s">
        <v>46</v>
      </c>
      <c r="C82" s="2" t="s">
        <v>15</v>
      </c>
      <c r="D82" s="2" t="s">
        <v>31</v>
      </c>
      <c r="E82" s="2" t="s">
        <v>32</v>
      </c>
      <c r="F82" s="2">
        <v>60881.01</v>
      </c>
      <c r="G82" s="2">
        <v>5410</v>
      </c>
      <c r="H82" s="2">
        <v>0.17899999999999999</v>
      </c>
      <c r="I82" s="2">
        <v>15</v>
      </c>
      <c r="J82" s="2">
        <v>83.9</v>
      </c>
      <c r="K82" s="2">
        <v>5.24</v>
      </c>
      <c r="L82" s="2">
        <v>0</v>
      </c>
      <c r="M82" s="2">
        <v>4.5999999999999996</v>
      </c>
      <c r="N82" s="2">
        <v>621369.57999999996</v>
      </c>
      <c r="O82" s="2">
        <v>85493.64</v>
      </c>
      <c r="P82" s="2">
        <v>0</v>
      </c>
      <c r="Q82" s="2">
        <v>0</v>
      </c>
      <c r="R82" s="2" t="s">
        <v>126</v>
      </c>
    </row>
    <row r="83" spans="1:18" ht="15" customHeight="1">
      <c r="A83" s="2">
        <v>82</v>
      </c>
      <c r="B83" s="2" t="s">
        <v>46</v>
      </c>
      <c r="C83" s="2" t="s">
        <v>18</v>
      </c>
      <c r="D83" s="2" t="s">
        <v>31</v>
      </c>
      <c r="E83" s="2" t="s">
        <v>32</v>
      </c>
      <c r="F83" s="2">
        <v>60628.38</v>
      </c>
      <c r="G83" s="2">
        <v>4451</v>
      </c>
      <c r="H83" s="2">
        <v>9.5000000000000001E-2</v>
      </c>
      <c r="I83" s="2">
        <v>10</v>
      </c>
      <c r="J83" s="2">
        <v>89.6</v>
      </c>
      <c r="K83" s="2">
        <v>3.17</v>
      </c>
      <c r="L83" s="2">
        <v>0</v>
      </c>
      <c r="M83" s="2">
        <v>4.5999999999999996</v>
      </c>
      <c r="N83" s="2">
        <v>682208.01</v>
      </c>
      <c r="O83" s="2">
        <v>110318.84</v>
      </c>
      <c r="P83" s="2">
        <v>0</v>
      </c>
      <c r="Q83" s="2">
        <v>0</v>
      </c>
      <c r="R83" s="2" t="s">
        <v>126</v>
      </c>
    </row>
    <row r="84" spans="1:18" ht="15" customHeight="1">
      <c r="A84" s="2">
        <v>83</v>
      </c>
      <c r="B84" s="2" t="s">
        <v>46</v>
      </c>
      <c r="C84" s="2" t="s">
        <v>19</v>
      </c>
      <c r="D84" s="2" t="s">
        <v>31</v>
      </c>
      <c r="E84" s="2" t="s">
        <v>32</v>
      </c>
      <c r="F84" s="2">
        <v>72731.14</v>
      </c>
      <c r="G84" s="2">
        <v>4644</v>
      </c>
      <c r="H84" s="2">
        <v>8.4000000000000005E-2</v>
      </c>
      <c r="I84" s="2">
        <v>15</v>
      </c>
      <c r="J84" s="2">
        <v>87.1</v>
      </c>
      <c r="K84" s="2">
        <v>2.66</v>
      </c>
      <c r="L84" s="2">
        <v>0</v>
      </c>
      <c r="M84" s="2">
        <v>4.5999999999999996</v>
      </c>
      <c r="N84" s="2">
        <v>727241.86</v>
      </c>
      <c r="O84" s="2">
        <v>155810.29999999999</v>
      </c>
      <c r="P84" s="2">
        <v>0</v>
      </c>
      <c r="Q84" s="2">
        <v>0</v>
      </c>
      <c r="R84" s="2" t="s">
        <v>126</v>
      </c>
    </row>
    <row r="85" spans="1:18" ht="15" customHeight="1">
      <c r="A85" s="2">
        <v>84</v>
      </c>
      <c r="B85" s="2" t="s">
        <v>46</v>
      </c>
      <c r="C85" s="2" t="s">
        <v>20</v>
      </c>
      <c r="D85" s="2" t="s">
        <v>31</v>
      </c>
      <c r="E85" s="2" t="s">
        <v>32</v>
      </c>
      <c r="F85" s="2">
        <v>36475.71</v>
      </c>
      <c r="G85" s="2">
        <v>3559</v>
      </c>
      <c r="H85" s="2">
        <v>0.03</v>
      </c>
      <c r="I85" s="2">
        <v>8</v>
      </c>
      <c r="J85" s="2">
        <v>83.6</v>
      </c>
      <c r="K85" s="2">
        <v>1.41</v>
      </c>
      <c r="L85" s="2">
        <v>0</v>
      </c>
      <c r="M85" s="2">
        <v>4.2</v>
      </c>
      <c r="N85" s="2">
        <v>569100.78</v>
      </c>
      <c r="O85" s="2">
        <v>104808.78</v>
      </c>
      <c r="P85" s="2">
        <v>0</v>
      </c>
      <c r="Q85" s="2">
        <v>0</v>
      </c>
      <c r="R85" s="2" t="s">
        <v>126</v>
      </c>
    </row>
    <row r="86" spans="1:18" ht="15" customHeight="1">
      <c r="A86" s="2">
        <v>85</v>
      </c>
      <c r="B86" s="2" t="s">
        <v>47</v>
      </c>
      <c r="C86" s="2" t="s">
        <v>15</v>
      </c>
      <c r="D86" s="2" t="s">
        <v>31</v>
      </c>
      <c r="E86" s="2" t="s">
        <v>22</v>
      </c>
      <c r="F86" s="2">
        <v>55388.11</v>
      </c>
      <c r="G86" s="2">
        <v>3091</v>
      </c>
      <c r="H86" s="2">
        <v>0.108</v>
      </c>
      <c r="I86" s="2">
        <v>7</v>
      </c>
      <c r="J86" s="2">
        <v>85.4</v>
      </c>
      <c r="K86" s="2">
        <v>7.34</v>
      </c>
      <c r="L86" s="2">
        <v>0</v>
      </c>
      <c r="M86" s="2">
        <v>4.9000000000000004</v>
      </c>
      <c r="N86" s="2">
        <v>574436.29</v>
      </c>
      <c r="O86" s="2">
        <v>80271.990000000005</v>
      </c>
      <c r="P86" s="2">
        <v>0</v>
      </c>
      <c r="Q86" s="2">
        <v>0</v>
      </c>
      <c r="R86" s="2" t="s">
        <v>126</v>
      </c>
    </row>
    <row r="87" spans="1:18" ht="15" customHeight="1">
      <c r="A87" s="2">
        <v>86</v>
      </c>
      <c r="B87" s="2" t="s">
        <v>47</v>
      </c>
      <c r="C87" s="2" t="s">
        <v>18</v>
      </c>
      <c r="D87" s="2" t="s">
        <v>31</v>
      </c>
      <c r="E87" s="2" t="s">
        <v>22</v>
      </c>
      <c r="F87" s="2">
        <v>88443.77</v>
      </c>
      <c r="G87" s="2">
        <v>4004</v>
      </c>
      <c r="H87" s="2">
        <v>0.20599999999999999</v>
      </c>
      <c r="I87" s="2">
        <v>11</v>
      </c>
      <c r="J87" s="2">
        <v>91.9</v>
      </c>
      <c r="K87" s="2">
        <v>5.95</v>
      </c>
      <c r="L87" s="2">
        <v>0</v>
      </c>
      <c r="M87" s="2">
        <v>3.9</v>
      </c>
      <c r="N87" s="2">
        <v>611766.72</v>
      </c>
      <c r="O87" s="2">
        <v>88275.61</v>
      </c>
      <c r="P87" s="2">
        <v>1</v>
      </c>
      <c r="Q87" s="2">
        <v>0</v>
      </c>
      <c r="R87" s="2" t="s">
        <v>127</v>
      </c>
    </row>
    <row r="88" spans="1:18" ht="15" customHeight="1">
      <c r="A88" s="2">
        <v>87</v>
      </c>
      <c r="B88" s="2" t="s">
        <v>47</v>
      </c>
      <c r="C88" s="2" t="s">
        <v>19</v>
      </c>
      <c r="D88" s="2" t="s">
        <v>31</v>
      </c>
      <c r="E88" s="2" t="s">
        <v>22</v>
      </c>
      <c r="F88" s="2">
        <v>78231.91</v>
      </c>
      <c r="G88" s="2">
        <v>3788</v>
      </c>
      <c r="H88" s="2">
        <v>5.8999999999999997E-2</v>
      </c>
      <c r="I88" s="2">
        <v>11</v>
      </c>
      <c r="J88" s="2">
        <v>88.5</v>
      </c>
      <c r="K88" s="2">
        <v>15.51</v>
      </c>
      <c r="L88" s="2">
        <v>0</v>
      </c>
      <c r="M88" s="2">
        <v>4.3</v>
      </c>
      <c r="N88" s="2">
        <v>614596.31999999995</v>
      </c>
      <c r="O88" s="2">
        <v>131199.41</v>
      </c>
      <c r="P88" s="2">
        <v>0</v>
      </c>
      <c r="Q88" s="2">
        <v>0</v>
      </c>
      <c r="R88" s="2" t="s">
        <v>126</v>
      </c>
    </row>
    <row r="89" spans="1:18" ht="15" customHeight="1">
      <c r="A89" s="2">
        <v>88</v>
      </c>
      <c r="B89" s="2" t="s">
        <v>47</v>
      </c>
      <c r="C89" s="2" t="s">
        <v>20</v>
      </c>
      <c r="D89" s="2" t="s">
        <v>31</v>
      </c>
      <c r="E89" s="2" t="s">
        <v>22</v>
      </c>
      <c r="F89" s="2">
        <v>18996.32</v>
      </c>
      <c r="G89" s="2">
        <v>1260</v>
      </c>
      <c r="H89" s="2">
        <v>0.14499999999999999</v>
      </c>
      <c r="I89" s="2">
        <v>9</v>
      </c>
      <c r="J89" s="2">
        <v>86.4</v>
      </c>
      <c r="K89" s="2">
        <v>4.3099999999999996</v>
      </c>
      <c r="L89" s="2">
        <v>0</v>
      </c>
      <c r="M89" s="2">
        <v>4.5999999999999996</v>
      </c>
      <c r="N89" s="2">
        <v>450711.92</v>
      </c>
      <c r="O89" s="2">
        <v>90043.76</v>
      </c>
      <c r="P89" s="2">
        <v>0</v>
      </c>
      <c r="Q89" s="2">
        <v>0</v>
      </c>
      <c r="R89" s="2" t="s">
        <v>126</v>
      </c>
    </row>
    <row r="90" spans="1:18" ht="15" customHeight="1">
      <c r="A90" s="2">
        <v>89</v>
      </c>
      <c r="B90" s="2" t="s">
        <v>48</v>
      </c>
      <c r="C90" s="2" t="s">
        <v>15</v>
      </c>
      <c r="D90" s="2" t="s">
        <v>28</v>
      </c>
      <c r="E90" s="2" t="s">
        <v>32</v>
      </c>
      <c r="F90" s="2">
        <v>50517.94</v>
      </c>
      <c r="G90" s="2">
        <v>7024</v>
      </c>
      <c r="H90" s="2">
        <v>2.9000000000000001E-2</v>
      </c>
      <c r="I90" s="2">
        <v>18</v>
      </c>
      <c r="J90" s="2">
        <v>79.2</v>
      </c>
      <c r="K90" s="2">
        <v>6.61</v>
      </c>
      <c r="L90" s="2">
        <v>1</v>
      </c>
      <c r="M90" s="2">
        <v>4.0999999999999996</v>
      </c>
      <c r="N90" s="2">
        <v>711213.46</v>
      </c>
      <c r="O90" s="2">
        <v>105863.26</v>
      </c>
      <c r="P90" s="2">
        <v>0</v>
      </c>
      <c r="Q90" s="2">
        <v>0</v>
      </c>
      <c r="R90" s="2" t="s">
        <v>126</v>
      </c>
    </row>
    <row r="91" spans="1:18" ht="15" customHeight="1">
      <c r="A91" s="2">
        <v>90</v>
      </c>
      <c r="B91" s="2" t="s">
        <v>48</v>
      </c>
      <c r="C91" s="2" t="s">
        <v>18</v>
      </c>
      <c r="D91" s="2" t="s">
        <v>28</v>
      </c>
      <c r="E91" s="2" t="s">
        <v>32</v>
      </c>
      <c r="F91" s="2">
        <v>141540.29</v>
      </c>
      <c r="G91" s="2">
        <v>5400</v>
      </c>
      <c r="H91" s="2">
        <v>1.2999999999999999E-2</v>
      </c>
      <c r="I91" s="2">
        <v>12</v>
      </c>
      <c r="J91" s="2">
        <v>87</v>
      </c>
      <c r="K91" s="2">
        <v>4.26</v>
      </c>
      <c r="L91" s="2">
        <v>0</v>
      </c>
      <c r="M91" s="2">
        <v>4.5</v>
      </c>
      <c r="N91" s="2">
        <v>627171.9</v>
      </c>
      <c r="O91" s="2">
        <v>105772.75</v>
      </c>
      <c r="P91" s="2">
        <v>0</v>
      </c>
      <c r="Q91" s="2">
        <v>0</v>
      </c>
      <c r="R91" s="2" t="s">
        <v>126</v>
      </c>
    </row>
    <row r="92" spans="1:18" ht="15" customHeight="1">
      <c r="A92" s="2">
        <v>91</v>
      </c>
      <c r="B92" s="2" t="s">
        <v>48</v>
      </c>
      <c r="C92" s="2" t="s">
        <v>19</v>
      </c>
      <c r="D92" s="2" t="s">
        <v>28</v>
      </c>
      <c r="E92" s="2" t="s">
        <v>32</v>
      </c>
      <c r="F92" s="2">
        <v>82116.19</v>
      </c>
      <c r="G92" s="2">
        <v>5988</v>
      </c>
      <c r="H92" s="2">
        <v>0.04</v>
      </c>
      <c r="I92" s="2">
        <v>17</v>
      </c>
      <c r="J92" s="2">
        <v>91.8</v>
      </c>
      <c r="K92" s="2">
        <v>5.75</v>
      </c>
      <c r="L92" s="2">
        <v>0</v>
      </c>
      <c r="M92" s="2">
        <v>4.7</v>
      </c>
      <c r="N92" s="2">
        <v>739852.58</v>
      </c>
      <c r="O92" s="2">
        <v>129386.43</v>
      </c>
      <c r="P92" s="2">
        <v>0</v>
      </c>
      <c r="Q92" s="2">
        <v>0</v>
      </c>
      <c r="R92" s="2" t="s">
        <v>126</v>
      </c>
    </row>
    <row r="93" spans="1:18" ht="15" customHeight="1">
      <c r="A93" s="2">
        <v>92</v>
      </c>
      <c r="B93" s="2" t="s">
        <v>48</v>
      </c>
      <c r="C93" s="2" t="s">
        <v>20</v>
      </c>
      <c r="D93" s="2" t="s">
        <v>28</v>
      </c>
      <c r="E93" s="2" t="s">
        <v>32</v>
      </c>
      <c r="F93" s="2">
        <v>31207.51</v>
      </c>
      <c r="G93" s="2">
        <v>3701</v>
      </c>
      <c r="H93" s="2">
        <v>4.2999999999999997E-2</v>
      </c>
      <c r="I93" s="2">
        <v>11</v>
      </c>
      <c r="J93" s="2">
        <v>84.7</v>
      </c>
      <c r="K93" s="2">
        <v>0.33</v>
      </c>
      <c r="L93" s="2">
        <v>0</v>
      </c>
      <c r="M93" s="2">
        <v>4.3</v>
      </c>
      <c r="N93" s="2">
        <v>586307.22</v>
      </c>
      <c r="O93" s="2">
        <v>73927.850000000006</v>
      </c>
      <c r="P93" s="2">
        <v>0</v>
      </c>
      <c r="Q93" s="2">
        <v>0</v>
      </c>
      <c r="R93" s="2" t="s">
        <v>126</v>
      </c>
    </row>
    <row r="94" spans="1:18" ht="15" customHeight="1">
      <c r="A94" s="2">
        <v>93</v>
      </c>
      <c r="B94" s="2" t="s">
        <v>49</v>
      </c>
      <c r="C94" s="2" t="s">
        <v>15</v>
      </c>
      <c r="D94" s="2" t="s">
        <v>31</v>
      </c>
      <c r="E94" s="2" t="s">
        <v>17</v>
      </c>
      <c r="F94" s="2">
        <v>38966.589999999997</v>
      </c>
      <c r="G94" s="2">
        <v>4509</v>
      </c>
      <c r="H94" s="2">
        <v>0.19400000000000001</v>
      </c>
      <c r="I94" s="2">
        <v>14</v>
      </c>
      <c r="J94" s="2">
        <v>91.1</v>
      </c>
      <c r="K94" s="2">
        <v>2.92</v>
      </c>
      <c r="L94" s="2">
        <v>0</v>
      </c>
      <c r="M94" s="2">
        <v>4.5999999999999996</v>
      </c>
      <c r="N94" s="2">
        <v>585937.48</v>
      </c>
      <c r="O94" s="2">
        <v>82624.2</v>
      </c>
      <c r="P94" s="2">
        <v>0</v>
      </c>
      <c r="Q94" s="2">
        <v>0</v>
      </c>
      <c r="R94" s="2" t="s">
        <v>126</v>
      </c>
    </row>
    <row r="95" spans="1:18" ht="15" customHeight="1">
      <c r="A95" s="2">
        <v>94</v>
      </c>
      <c r="B95" s="2" t="s">
        <v>49</v>
      </c>
      <c r="C95" s="2" t="s">
        <v>18</v>
      </c>
      <c r="D95" s="2" t="s">
        <v>31</v>
      </c>
      <c r="E95" s="2" t="s">
        <v>17</v>
      </c>
      <c r="F95" s="2">
        <v>67439.3</v>
      </c>
      <c r="G95" s="2">
        <v>6477</v>
      </c>
      <c r="H95" s="2">
        <v>0</v>
      </c>
      <c r="I95" s="2">
        <v>16</v>
      </c>
      <c r="J95" s="2">
        <v>90.9</v>
      </c>
      <c r="K95" s="2">
        <v>1.64</v>
      </c>
      <c r="L95" s="2">
        <v>0</v>
      </c>
      <c r="M95" s="2">
        <v>4.5</v>
      </c>
      <c r="N95" s="2">
        <v>753473.55</v>
      </c>
      <c r="O95" s="2">
        <v>151527.22</v>
      </c>
      <c r="P95" s="2">
        <v>0</v>
      </c>
      <c r="Q95" s="2">
        <v>0</v>
      </c>
      <c r="R95" s="2" t="s">
        <v>126</v>
      </c>
    </row>
    <row r="96" spans="1:18" ht="15" customHeight="1">
      <c r="A96" s="2">
        <v>95</v>
      </c>
      <c r="B96" s="2" t="s">
        <v>49</v>
      </c>
      <c r="C96" s="2" t="s">
        <v>19</v>
      </c>
      <c r="D96" s="2" t="s">
        <v>31</v>
      </c>
      <c r="E96" s="2" t="s">
        <v>17</v>
      </c>
      <c r="F96" s="2">
        <v>86421.88</v>
      </c>
      <c r="G96" s="2">
        <v>7970</v>
      </c>
      <c r="H96" s="2">
        <v>7.2999999999999995E-2</v>
      </c>
      <c r="I96" s="2">
        <v>17</v>
      </c>
      <c r="J96" s="2">
        <v>91.3</v>
      </c>
      <c r="K96" s="2">
        <v>0.8</v>
      </c>
      <c r="L96" s="2">
        <v>0</v>
      </c>
      <c r="M96" s="2">
        <v>5</v>
      </c>
      <c r="N96" s="2">
        <v>838250.32</v>
      </c>
      <c r="O96" s="2">
        <v>122939.34</v>
      </c>
      <c r="P96" s="2">
        <v>0</v>
      </c>
      <c r="Q96" s="2">
        <v>0</v>
      </c>
      <c r="R96" s="2" t="s">
        <v>126</v>
      </c>
    </row>
    <row r="97" spans="1:18" ht="15" customHeight="1">
      <c r="A97" s="2">
        <v>96</v>
      </c>
      <c r="B97" s="2" t="s">
        <v>49</v>
      </c>
      <c r="C97" s="2" t="s">
        <v>20</v>
      </c>
      <c r="D97" s="2" t="s">
        <v>31</v>
      </c>
      <c r="E97" s="2" t="s">
        <v>17</v>
      </c>
      <c r="F97" s="2">
        <v>9534.65</v>
      </c>
      <c r="G97" s="2">
        <v>6057</v>
      </c>
      <c r="H97" s="2">
        <v>7.3999999999999996E-2</v>
      </c>
      <c r="I97" s="2">
        <v>15</v>
      </c>
      <c r="J97" s="2">
        <v>94.1</v>
      </c>
      <c r="K97" s="2">
        <v>5.79</v>
      </c>
      <c r="L97" s="2">
        <v>0</v>
      </c>
      <c r="M97" s="2">
        <v>4.5</v>
      </c>
      <c r="N97" s="2">
        <v>607898.12</v>
      </c>
      <c r="O97" s="2">
        <v>135404.85</v>
      </c>
      <c r="P97" s="2">
        <v>0</v>
      </c>
      <c r="Q97" s="2">
        <v>0</v>
      </c>
      <c r="R97" s="2" t="s">
        <v>126</v>
      </c>
    </row>
    <row r="98" spans="1:18" ht="15" customHeight="1">
      <c r="A98" s="2">
        <v>97</v>
      </c>
      <c r="B98" s="2" t="s">
        <v>50</v>
      </c>
      <c r="C98" s="2" t="s">
        <v>15</v>
      </c>
      <c r="D98" s="2" t="s">
        <v>31</v>
      </c>
      <c r="E98" s="2" t="s">
        <v>32</v>
      </c>
      <c r="F98" s="2">
        <v>61132.07</v>
      </c>
      <c r="G98" s="2">
        <v>6394</v>
      </c>
      <c r="H98" s="2">
        <v>0.16300000000000001</v>
      </c>
      <c r="I98" s="2">
        <v>19</v>
      </c>
      <c r="J98" s="2">
        <v>91</v>
      </c>
      <c r="K98" s="2">
        <v>19.600000000000001</v>
      </c>
      <c r="L98" s="2">
        <v>0</v>
      </c>
      <c r="M98" s="2">
        <v>4.4000000000000004</v>
      </c>
      <c r="N98" s="2">
        <v>691113.62</v>
      </c>
      <c r="O98" s="2">
        <v>135145.44</v>
      </c>
      <c r="P98" s="2">
        <v>0</v>
      </c>
      <c r="Q98" s="2">
        <v>0</v>
      </c>
      <c r="R98" s="2" t="s">
        <v>126</v>
      </c>
    </row>
    <row r="99" spans="1:18" ht="15" customHeight="1">
      <c r="A99" s="2">
        <v>98</v>
      </c>
      <c r="B99" s="2" t="s">
        <v>50</v>
      </c>
      <c r="C99" s="2" t="s">
        <v>18</v>
      </c>
      <c r="D99" s="2" t="s">
        <v>31</v>
      </c>
      <c r="E99" s="2" t="s">
        <v>32</v>
      </c>
      <c r="F99" s="2">
        <v>78839.39</v>
      </c>
      <c r="G99" s="2">
        <v>5150</v>
      </c>
      <c r="H99" s="2">
        <v>0.17100000000000001</v>
      </c>
      <c r="I99" s="2">
        <v>13</v>
      </c>
      <c r="J99" s="2">
        <v>85.8</v>
      </c>
      <c r="K99" s="2">
        <v>7.57</v>
      </c>
      <c r="L99" s="2">
        <v>0</v>
      </c>
      <c r="M99" s="2">
        <v>4.3</v>
      </c>
      <c r="N99" s="2">
        <v>735509.4</v>
      </c>
      <c r="O99" s="2">
        <v>83895.96</v>
      </c>
      <c r="P99" s="2">
        <v>0</v>
      </c>
      <c r="Q99" s="2">
        <v>0</v>
      </c>
      <c r="R99" s="2" t="s">
        <v>126</v>
      </c>
    </row>
    <row r="100" spans="1:18" ht="15" customHeight="1">
      <c r="A100" s="2">
        <v>99</v>
      </c>
      <c r="B100" s="2" t="s">
        <v>50</v>
      </c>
      <c r="C100" s="2" t="s">
        <v>19</v>
      </c>
      <c r="D100" s="2" t="s">
        <v>31</v>
      </c>
      <c r="E100" s="2" t="s">
        <v>32</v>
      </c>
      <c r="F100" s="2">
        <v>38752.800000000003</v>
      </c>
      <c r="G100" s="2">
        <v>4712</v>
      </c>
      <c r="H100" s="2">
        <v>7.4999999999999997E-2</v>
      </c>
      <c r="I100" s="2">
        <v>15</v>
      </c>
      <c r="J100" s="2">
        <v>89.7</v>
      </c>
      <c r="K100" s="2">
        <v>3.3650000000000002</v>
      </c>
      <c r="L100" s="2">
        <v>0</v>
      </c>
      <c r="M100" s="2">
        <v>4.3</v>
      </c>
      <c r="N100" s="2">
        <v>605775.32999999996</v>
      </c>
      <c r="O100" s="2">
        <v>107194.6</v>
      </c>
      <c r="P100" s="2">
        <v>0</v>
      </c>
      <c r="Q100" s="2">
        <v>1</v>
      </c>
      <c r="R100" s="2" t="s">
        <v>128</v>
      </c>
    </row>
    <row r="101" spans="1:18" ht="15" customHeight="1">
      <c r="A101" s="2">
        <v>100</v>
      </c>
      <c r="B101" s="2" t="s">
        <v>50</v>
      </c>
      <c r="C101" s="2" t="s">
        <v>20</v>
      </c>
      <c r="D101" s="2" t="s">
        <v>31</v>
      </c>
      <c r="E101" s="2" t="s">
        <v>32</v>
      </c>
      <c r="F101" s="2">
        <v>55101.1</v>
      </c>
      <c r="G101" s="2">
        <v>5281</v>
      </c>
      <c r="H101" s="2">
        <v>0.189</v>
      </c>
      <c r="I101" s="2">
        <v>11</v>
      </c>
      <c r="J101" s="2">
        <v>91</v>
      </c>
      <c r="K101" s="2">
        <v>2.7</v>
      </c>
      <c r="L101" s="2">
        <v>0</v>
      </c>
      <c r="M101" s="2">
        <v>4.4000000000000004</v>
      </c>
      <c r="N101" s="2">
        <v>675177.68</v>
      </c>
      <c r="O101" s="2">
        <v>105628.68</v>
      </c>
      <c r="P101" s="2">
        <v>0</v>
      </c>
      <c r="Q101" s="2">
        <v>0</v>
      </c>
      <c r="R101" s="2" t="s">
        <v>126</v>
      </c>
    </row>
    <row r="102" spans="1:18" ht="15" customHeight="1">
      <c r="A102" s="2">
        <v>101</v>
      </c>
      <c r="B102" s="2" t="s">
        <v>51</v>
      </c>
      <c r="C102" s="2" t="s">
        <v>15</v>
      </c>
      <c r="D102" s="2" t="s">
        <v>16</v>
      </c>
      <c r="E102" s="2" t="s">
        <v>32</v>
      </c>
      <c r="F102" s="2">
        <v>53084.76</v>
      </c>
      <c r="G102" s="2">
        <v>3642</v>
      </c>
      <c r="H102" s="2">
        <v>0.15</v>
      </c>
      <c r="I102" s="2">
        <v>12</v>
      </c>
      <c r="J102" s="2">
        <v>91.4</v>
      </c>
      <c r="K102" s="2">
        <v>0.2</v>
      </c>
      <c r="L102" s="2">
        <v>0</v>
      </c>
      <c r="M102" s="2">
        <v>4.4000000000000004</v>
      </c>
      <c r="N102" s="2">
        <v>635181.35</v>
      </c>
      <c r="O102" s="2">
        <v>83341.25</v>
      </c>
      <c r="P102" s="2">
        <v>0</v>
      </c>
      <c r="Q102" s="2">
        <v>0</v>
      </c>
      <c r="R102" s="2" t="s">
        <v>126</v>
      </c>
    </row>
    <row r="103" spans="1:18" ht="15" customHeight="1">
      <c r="A103" s="2">
        <v>102</v>
      </c>
      <c r="B103" s="2" t="s">
        <v>51</v>
      </c>
      <c r="C103" s="2" t="s">
        <v>18</v>
      </c>
      <c r="D103" s="2" t="s">
        <v>16</v>
      </c>
      <c r="E103" s="2" t="s">
        <v>32</v>
      </c>
      <c r="F103" s="2">
        <v>63101.59</v>
      </c>
      <c r="G103" s="2">
        <v>4373</v>
      </c>
      <c r="H103" s="2">
        <v>0.17299999999999999</v>
      </c>
      <c r="I103" s="2">
        <v>14</v>
      </c>
      <c r="J103" s="2">
        <v>90.4</v>
      </c>
      <c r="K103" s="2">
        <v>7.87</v>
      </c>
      <c r="L103" s="2">
        <v>0</v>
      </c>
      <c r="M103" s="2">
        <v>4.7</v>
      </c>
      <c r="N103" s="2">
        <v>586626.93999999994</v>
      </c>
      <c r="O103" s="2">
        <v>86498.55</v>
      </c>
      <c r="P103" s="2">
        <v>0</v>
      </c>
      <c r="Q103" s="2">
        <v>0</v>
      </c>
      <c r="R103" s="2" t="s">
        <v>126</v>
      </c>
    </row>
    <row r="104" spans="1:18" ht="15" customHeight="1">
      <c r="A104" s="2">
        <v>103</v>
      </c>
      <c r="B104" s="2" t="s">
        <v>51</v>
      </c>
      <c r="C104" s="2" t="s">
        <v>19</v>
      </c>
      <c r="D104" s="2" t="s">
        <v>16</v>
      </c>
      <c r="E104" s="2" t="s">
        <v>32</v>
      </c>
      <c r="F104" s="2">
        <v>90084.4</v>
      </c>
      <c r="G104" s="2">
        <v>6832</v>
      </c>
      <c r="H104" s="2">
        <v>0.185</v>
      </c>
      <c r="I104" s="2">
        <v>14</v>
      </c>
      <c r="J104" s="2">
        <v>80.5</v>
      </c>
      <c r="K104" s="2">
        <v>0.77</v>
      </c>
      <c r="L104" s="2">
        <v>1</v>
      </c>
      <c r="M104" s="2">
        <v>4.4000000000000004</v>
      </c>
      <c r="N104" s="2">
        <v>740102.64</v>
      </c>
      <c r="O104" s="2">
        <v>114299.07</v>
      </c>
      <c r="P104" s="2">
        <v>0</v>
      </c>
      <c r="Q104" s="2">
        <v>0</v>
      </c>
      <c r="R104" s="2" t="s">
        <v>126</v>
      </c>
    </row>
    <row r="105" spans="1:18" ht="15" customHeight="1">
      <c r="A105" s="2">
        <v>104</v>
      </c>
      <c r="B105" s="2" t="s">
        <v>51</v>
      </c>
      <c r="C105" s="2" t="s">
        <v>20</v>
      </c>
      <c r="D105" s="2" t="s">
        <v>16</v>
      </c>
      <c r="E105" s="2" t="s">
        <v>32</v>
      </c>
      <c r="F105" s="2">
        <v>32266.639999999999</v>
      </c>
      <c r="G105" s="2">
        <v>2414</v>
      </c>
      <c r="H105" s="2">
        <v>0.08</v>
      </c>
      <c r="I105" s="2">
        <v>7</v>
      </c>
      <c r="J105" s="2">
        <v>92.1</v>
      </c>
      <c r="K105" s="2">
        <v>1.48</v>
      </c>
      <c r="L105" s="2">
        <v>0</v>
      </c>
      <c r="M105" s="2">
        <v>5</v>
      </c>
      <c r="N105" s="2">
        <v>625514.04</v>
      </c>
      <c r="O105" s="2">
        <v>120685.08</v>
      </c>
      <c r="P105" s="2">
        <v>0</v>
      </c>
      <c r="Q105" s="2">
        <v>0</v>
      </c>
      <c r="R105" s="2" t="s">
        <v>126</v>
      </c>
    </row>
    <row r="106" spans="1:18" ht="15" customHeight="1">
      <c r="A106" s="2">
        <v>105</v>
      </c>
      <c r="B106" s="2" t="s">
        <v>52</v>
      </c>
      <c r="C106" s="2" t="s">
        <v>15</v>
      </c>
      <c r="D106" s="2" t="s">
        <v>31</v>
      </c>
      <c r="E106" s="2" t="s">
        <v>22</v>
      </c>
      <c r="F106" s="2">
        <v>57919.07</v>
      </c>
      <c r="G106" s="2">
        <v>7374</v>
      </c>
      <c r="H106" s="2">
        <v>0.10299999999999999</v>
      </c>
      <c r="I106" s="2">
        <v>21</v>
      </c>
      <c r="J106" s="2">
        <v>82.3</v>
      </c>
      <c r="K106" s="2">
        <v>2.87</v>
      </c>
      <c r="L106" s="2">
        <v>0</v>
      </c>
      <c r="M106" s="2">
        <v>2.9</v>
      </c>
      <c r="N106" s="2">
        <v>727227.2</v>
      </c>
      <c r="O106" s="2">
        <v>121292.01</v>
      </c>
      <c r="P106" s="2">
        <v>0</v>
      </c>
      <c r="Q106" s="2">
        <v>0</v>
      </c>
      <c r="R106" s="2" t="s">
        <v>126</v>
      </c>
    </row>
    <row r="107" spans="1:18" ht="15" customHeight="1">
      <c r="A107" s="2">
        <v>106</v>
      </c>
      <c r="B107" s="2" t="s">
        <v>52</v>
      </c>
      <c r="C107" s="2" t="s">
        <v>18</v>
      </c>
      <c r="D107" s="2" t="s">
        <v>31</v>
      </c>
      <c r="E107" s="2" t="s">
        <v>22</v>
      </c>
      <c r="F107" s="2">
        <v>74679.350000000006</v>
      </c>
      <c r="G107" s="2">
        <v>8739</v>
      </c>
      <c r="H107" s="2">
        <v>5.6000000000000001E-2</v>
      </c>
      <c r="I107" s="2">
        <v>21</v>
      </c>
      <c r="J107" s="2">
        <v>91.8</v>
      </c>
      <c r="K107" s="2">
        <v>2.83</v>
      </c>
      <c r="L107" s="2">
        <v>0</v>
      </c>
      <c r="M107" s="2">
        <v>3</v>
      </c>
      <c r="N107" s="2">
        <v>783797.89</v>
      </c>
      <c r="O107" s="2">
        <v>157620.70000000001</v>
      </c>
      <c r="P107" s="2">
        <v>0</v>
      </c>
      <c r="Q107" s="2">
        <v>0</v>
      </c>
      <c r="R107" s="2" t="s">
        <v>126</v>
      </c>
    </row>
    <row r="108" spans="1:18" ht="15" customHeight="1">
      <c r="A108" s="2">
        <v>107</v>
      </c>
      <c r="B108" s="2" t="s">
        <v>52</v>
      </c>
      <c r="C108" s="2" t="s">
        <v>19</v>
      </c>
      <c r="D108" s="2" t="s">
        <v>31</v>
      </c>
      <c r="E108" s="2" t="s">
        <v>22</v>
      </c>
      <c r="F108" s="2">
        <v>64294.23</v>
      </c>
      <c r="G108" s="2">
        <v>6992</v>
      </c>
      <c r="H108" s="2">
        <v>0.13300000000000001</v>
      </c>
      <c r="I108" s="2">
        <v>14</v>
      </c>
      <c r="J108" s="2">
        <v>94.1</v>
      </c>
      <c r="K108" s="2">
        <v>0.25</v>
      </c>
      <c r="L108" s="2">
        <v>0</v>
      </c>
      <c r="M108" s="2">
        <v>3</v>
      </c>
      <c r="N108" s="2">
        <v>795153.84</v>
      </c>
      <c r="O108" s="2">
        <v>143194.21</v>
      </c>
      <c r="P108" s="2">
        <v>0</v>
      </c>
      <c r="Q108" s="2">
        <v>0</v>
      </c>
      <c r="R108" s="2" t="s">
        <v>126</v>
      </c>
    </row>
    <row r="109" spans="1:18" ht="15" customHeight="1">
      <c r="A109" s="2">
        <v>108</v>
      </c>
      <c r="B109" s="2" t="s">
        <v>52</v>
      </c>
      <c r="C109" s="2" t="s">
        <v>20</v>
      </c>
      <c r="D109" s="2" t="s">
        <v>31</v>
      </c>
      <c r="E109" s="2" t="s">
        <v>22</v>
      </c>
      <c r="F109" s="2">
        <v>31042.03</v>
      </c>
      <c r="G109" s="2">
        <v>7107</v>
      </c>
      <c r="H109" s="2">
        <v>5.0999999999999997E-2</v>
      </c>
      <c r="I109" s="2">
        <v>15</v>
      </c>
      <c r="J109" s="2">
        <v>87</v>
      </c>
      <c r="K109" s="2">
        <v>13.33</v>
      </c>
      <c r="L109" s="2">
        <v>0</v>
      </c>
      <c r="M109" s="2">
        <v>3.2</v>
      </c>
      <c r="N109" s="2">
        <v>665594.93999999994</v>
      </c>
      <c r="O109" s="2">
        <v>127597.34</v>
      </c>
      <c r="P109" s="2">
        <v>0</v>
      </c>
      <c r="Q109" s="2">
        <v>0</v>
      </c>
      <c r="R109" s="2" t="s">
        <v>126</v>
      </c>
    </row>
    <row r="110" spans="1:18" ht="15" customHeight="1">
      <c r="A110" s="2">
        <v>109</v>
      </c>
      <c r="B110" s="2" t="s">
        <v>53</v>
      </c>
      <c r="C110" s="2" t="s">
        <v>15</v>
      </c>
      <c r="D110" s="2" t="s">
        <v>16</v>
      </c>
      <c r="E110" s="2" t="s">
        <v>32</v>
      </c>
      <c r="F110" s="2">
        <v>75265.02</v>
      </c>
      <c r="G110" s="2">
        <v>6975</v>
      </c>
      <c r="H110" s="2">
        <v>0.157</v>
      </c>
      <c r="I110" s="2">
        <v>20</v>
      </c>
      <c r="J110" s="2">
        <v>73.8</v>
      </c>
      <c r="K110" s="2">
        <v>6.35</v>
      </c>
      <c r="L110" s="2">
        <v>1</v>
      </c>
      <c r="M110" s="2">
        <v>3.8</v>
      </c>
      <c r="N110" s="2">
        <v>709478.39</v>
      </c>
      <c r="O110" s="2">
        <v>71294.27</v>
      </c>
      <c r="P110" s="2">
        <v>0</v>
      </c>
      <c r="Q110" s="2">
        <v>0</v>
      </c>
      <c r="R110" s="2" t="s">
        <v>126</v>
      </c>
    </row>
    <row r="111" spans="1:18" ht="15" customHeight="1">
      <c r="A111" s="2">
        <v>110</v>
      </c>
      <c r="B111" s="2" t="s">
        <v>53</v>
      </c>
      <c r="C111" s="2" t="s">
        <v>18</v>
      </c>
      <c r="D111" s="2" t="s">
        <v>16</v>
      </c>
      <c r="E111" s="2" t="s">
        <v>32</v>
      </c>
      <c r="F111" s="2">
        <v>69411.7</v>
      </c>
      <c r="G111" s="2">
        <v>5493</v>
      </c>
      <c r="H111" s="2">
        <v>0.29199999999999998</v>
      </c>
      <c r="I111" s="2">
        <v>13</v>
      </c>
      <c r="J111" s="2">
        <v>86.5</v>
      </c>
      <c r="K111" s="2">
        <v>6.69</v>
      </c>
      <c r="L111" s="2">
        <v>0</v>
      </c>
      <c r="M111" s="2">
        <v>3.8</v>
      </c>
      <c r="N111" s="2">
        <v>664162.49</v>
      </c>
      <c r="O111" s="2">
        <v>98291.06</v>
      </c>
      <c r="P111" s="2">
        <v>0</v>
      </c>
      <c r="Q111" s="2">
        <v>0</v>
      </c>
      <c r="R111" s="2" t="s">
        <v>126</v>
      </c>
    </row>
    <row r="112" spans="1:18" ht="15" customHeight="1">
      <c r="A112" s="2">
        <v>111</v>
      </c>
      <c r="B112" s="2" t="s">
        <v>53</v>
      </c>
      <c r="C112" s="2" t="s">
        <v>19</v>
      </c>
      <c r="D112" s="2" t="s">
        <v>16</v>
      </c>
      <c r="E112" s="2" t="s">
        <v>32</v>
      </c>
      <c r="F112" s="2">
        <v>51056.15</v>
      </c>
      <c r="G112" s="2">
        <v>5686</v>
      </c>
      <c r="H112" s="2">
        <v>8.8999999999999996E-2</v>
      </c>
      <c r="I112" s="2">
        <v>13</v>
      </c>
      <c r="J112" s="2">
        <v>89.9</v>
      </c>
      <c r="K112" s="2">
        <v>1.28</v>
      </c>
      <c r="L112" s="2">
        <v>0</v>
      </c>
      <c r="M112" s="2">
        <v>4.2</v>
      </c>
      <c r="N112" s="2">
        <v>633494.21</v>
      </c>
      <c r="O112" s="2">
        <v>105739.47</v>
      </c>
      <c r="P112" s="2">
        <v>0</v>
      </c>
      <c r="Q112" s="2">
        <v>0</v>
      </c>
      <c r="R112" s="2" t="s">
        <v>126</v>
      </c>
    </row>
    <row r="113" spans="1:18" ht="15" customHeight="1">
      <c r="A113" s="2">
        <v>112</v>
      </c>
      <c r="B113" s="2" t="s">
        <v>53</v>
      </c>
      <c r="C113" s="2" t="s">
        <v>20</v>
      </c>
      <c r="D113" s="2" t="s">
        <v>16</v>
      </c>
      <c r="E113" s="2" t="s">
        <v>32</v>
      </c>
      <c r="F113" s="2">
        <v>52758.01</v>
      </c>
      <c r="G113" s="2">
        <v>4063</v>
      </c>
      <c r="H113" s="2">
        <v>5.7000000000000002E-2</v>
      </c>
      <c r="I113" s="2">
        <v>12</v>
      </c>
      <c r="J113" s="2">
        <v>91.7</v>
      </c>
      <c r="K113" s="2">
        <v>0.92</v>
      </c>
      <c r="L113" s="2">
        <v>0</v>
      </c>
      <c r="M113" s="2">
        <v>3.5</v>
      </c>
      <c r="N113" s="2">
        <v>713611.16</v>
      </c>
      <c r="O113" s="2">
        <v>129717.18</v>
      </c>
      <c r="P113" s="2">
        <v>0</v>
      </c>
      <c r="Q113" s="2">
        <v>0</v>
      </c>
      <c r="R113" s="2" t="s">
        <v>126</v>
      </c>
    </row>
    <row r="114" spans="1:18" ht="15" customHeight="1">
      <c r="A114" s="2">
        <v>113</v>
      </c>
      <c r="B114" s="2" t="s">
        <v>54</v>
      </c>
      <c r="C114" s="2" t="s">
        <v>15</v>
      </c>
      <c r="D114" s="2" t="s">
        <v>31</v>
      </c>
      <c r="E114" s="2" t="s">
        <v>32</v>
      </c>
      <c r="F114" s="2">
        <v>61426.04</v>
      </c>
      <c r="G114" s="2">
        <v>8966</v>
      </c>
      <c r="H114" s="2">
        <v>0.17299999999999999</v>
      </c>
      <c r="I114" s="2">
        <v>22</v>
      </c>
      <c r="J114" s="2">
        <v>76.400000000000006</v>
      </c>
      <c r="K114" s="2">
        <v>1.05</v>
      </c>
      <c r="L114" s="2">
        <v>0</v>
      </c>
      <c r="M114" s="2">
        <v>3.1</v>
      </c>
      <c r="N114" s="2">
        <v>778397.97</v>
      </c>
      <c r="O114" s="2">
        <v>120044.41</v>
      </c>
      <c r="P114" s="2">
        <v>0</v>
      </c>
      <c r="Q114" s="2">
        <v>0</v>
      </c>
      <c r="R114" s="2" t="s">
        <v>126</v>
      </c>
    </row>
    <row r="115" spans="1:18" ht="15" customHeight="1">
      <c r="A115" s="2">
        <v>114</v>
      </c>
      <c r="B115" s="2" t="s">
        <v>54</v>
      </c>
      <c r="C115" s="2" t="s">
        <v>18</v>
      </c>
      <c r="D115" s="2" t="s">
        <v>31</v>
      </c>
      <c r="E115" s="2" t="s">
        <v>32</v>
      </c>
      <c r="F115" s="2">
        <v>80176.34</v>
      </c>
      <c r="G115" s="2">
        <v>9489</v>
      </c>
      <c r="H115" s="2">
        <v>0.14199999999999999</v>
      </c>
      <c r="I115" s="2">
        <v>22</v>
      </c>
      <c r="J115" s="2">
        <v>94.3</v>
      </c>
      <c r="K115" s="2">
        <v>2.67</v>
      </c>
      <c r="L115" s="2">
        <v>0</v>
      </c>
      <c r="M115" s="2">
        <v>3.5</v>
      </c>
      <c r="N115" s="2">
        <v>873380.02</v>
      </c>
      <c r="O115" s="2">
        <v>149734.76</v>
      </c>
      <c r="P115" s="2">
        <v>0</v>
      </c>
      <c r="Q115" s="2">
        <v>0</v>
      </c>
      <c r="R115" s="2" t="s">
        <v>126</v>
      </c>
    </row>
    <row r="116" spans="1:18" ht="15" customHeight="1">
      <c r="A116" s="2">
        <v>115</v>
      </c>
      <c r="B116" s="2" t="s">
        <v>54</v>
      </c>
      <c r="C116" s="2" t="s">
        <v>19</v>
      </c>
      <c r="D116" s="2" t="s">
        <v>31</v>
      </c>
      <c r="E116" s="2" t="s">
        <v>32</v>
      </c>
      <c r="F116" s="2">
        <v>33605.18</v>
      </c>
      <c r="G116" s="2">
        <v>9225</v>
      </c>
      <c r="H116" s="2">
        <v>0.159</v>
      </c>
      <c r="I116" s="2">
        <v>23</v>
      </c>
      <c r="J116" s="2">
        <v>88.4</v>
      </c>
      <c r="K116" s="2">
        <v>5.91</v>
      </c>
      <c r="L116" s="2">
        <v>0</v>
      </c>
      <c r="M116" s="2">
        <v>2.8</v>
      </c>
      <c r="N116" s="2">
        <v>697287.9</v>
      </c>
      <c r="O116" s="2">
        <v>128208.33</v>
      </c>
      <c r="P116" s="2">
        <v>0</v>
      </c>
      <c r="Q116" s="2">
        <v>0</v>
      </c>
      <c r="R116" s="2" t="s">
        <v>126</v>
      </c>
    </row>
    <row r="117" spans="1:18" ht="15" customHeight="1">
      <c r="A117" s="2">
        <v>116</v>
      </c>
      <c r="B117" s="2" t="s">
        <v>54</v>
      </c>
      <c r="C117" s="2" t="s">
        <v>20</v>
      </c>
      <c r="D117" s="2" t="s">
        <v>31</v>
      </c>
      <c r="E117" s="2" t="s">
        <v>32</v>
      </c>
      <c r="F117" s="2">
        <v>25990.54</v>
      </c>
      <c r="G117" s="2">
        <v>9249</v>
      </c>
      <c r="H117" s="2">
        <v>0.13900000000000001</v>
      </c>
      <c r="I117" s="2">
        <v>23</v>
      </c>
      <c r="J117" s="2">
        <v>92.5</v>
      </c>
      <c r="K117" s="2">
        <v>6.37</v>
      </c>
      <c r="L117" s="2">
        <v>0</v>
      </c>
      <c r="M117" s="2">
        <v>3.3</v>
      </c>
      <c r="N117" s="2">
        <v>718074.79</v>
      </c>
      <c r="O117" s="2">
        <v>115819.87</v>
      </c>
      <c r="P117" s="2">
        <v>0</v>
      </c>
      <c r="Q117" s="2">
        <v>0</v>
      </c>
      <c r="R117" s="2" t="s">
        <v>126</v>
      </c>
    </row>
    <row r="118" spans="1:18" ht="15" customHeight="1">
      <c r="A118" s="2">
        <v>117</v>
      </c>
      <c r="B118" s="2" t="s">
        <v>55</v>
      </c>
      <c r="C118" s="2" t="s">
        <v>15</v>
      </c>
      <c r="D118" s="2" t="s">
        <v>31</v>
      </c>
      <c r="E118" s="2" t="s">
        <v>17</v>
      </c>
      <c r="F118" s="2">
        <v>43685.14</v>
      </c>
      <c r="G118" s="2">
        <v>7821</v>
      </c>
      <c r="H118" s="2">
        <v>0.19</v>
      </c>
      <c r="I118" s="2">
        <v>17</v>
      </c>
      <c r="J118" s="2">
        <v>91</v>
      </c>
      <c r="K118" s="2">
        <v>2.4900000000000002</v>
      </c>
      <c r="L118" s="2">
        <v>1</v>
      </c>
      <c r="M118" s="2">
        <v>4.7</v>
      </c>
      <c r="N118" s="2">
        <v>714942.43</v>
      </c>
      <c r="O118" s="2">
        <v>94697.71</v>
      </c>
      <c r="P118" s="2">
        <v>0</v>
      </c>
      <c r="Q118" s="2">
        <v>0</v>
      </c>
      <c r="R118" s="2" t="s">
        <v>126</v>
      </c>
    </row>
    <row r="119" spans="1:18" ht="15" customHeight="1">
      <c r="A119" s="2">
        <v>118</v>
      </c>
      <c r="B119" s="2" t="s">
        <v>55</v>
      </c>
      <c r="C119" s="2" t="s">
        <v>18</v>
      </c>
      <c r="D119" s="2" t="s">
        <v>31</v>
      </c>
      <c r="E119" s="2" t="s">
        <v>17</v>
      </c>
      <c r="F119" s="2">
        <v>57360.01</v>
      </c>
      <c r="G119" s="2">
        <v>8434</v>
      </c>
      <c r="H119" s="2">
        <v>0.151</v>
      </c>
      <c r="I119" s="2">
        <v>19</v>
      </c>
      <c r="J119" s="2">
        <v>84.1</v>
      </c>
      <c r="K119" s="2">
        <v>1.56</v>
      </c>
      <c r="L119" s="2">
        <v>0</v>
      </c>
      <c r="M119" s="2">
        <v>4.7</v>
      </c>
      <c r="N119" s="2">
        <v>820519.04</v>
      </c>
      <c r="O119" s="2">
        <v>99035.88</v>
      </c>
      <c r="P119" s="2">
        <v>0</v>
      </c>
      <c r="Q119" s="2">
        <v>0</v>
      </c>
      <c r="R119" s="2" t="s">
        <v>126</v>
      </c>
    </row>
    <row r="120" spans="1:18" ht="15" customHeight="1">
      <c r="A120" s="2">
        <v>119</v>
      </c>
      <c r="B120" s="2" t="s">
        <v>55</v>
      </c>
      <c r="C120" s="2" t="s">
        <v>19</v>
      </c>
      <c r="D120" s="2" t="s">
        <v>31</v>
      </c>
      <c r="E120" s="2" t="s">
        <v>17</v>
      </c>
      <c r="F120" s="2">
        <v>42415.47</v>
      </c>
      <c r="G120" s="2">
        <v>8512</v>
      </c>
      <c r="H120" s="2">
        <v>0.13300000000000001</v>
      </c>
      <c r="I120" s="2">
        <v>18</v>
      </c>
      <c r="J120" s="2">
        <v>96.8</v>
      </c>
      <c r="K120" s="2">
        <v>14.95</v>
      </c>
      <c r="L120" s="2">
        <v>0</v>
      </c>
      <c r="M120" s="2">
        <v>4.5999999999999996</v>
      </c>
      <c r="N120" s="2">
        <v>684217.32</v>
      </c>
      <c r="O120" s="2">
        <v>136217.19</v>
      </c>
      <c r="P120" s="2">
        <v>0</v>
      </c>
      <c r="Q120" s="2">
        <v>0</v>
      </c>
      <c r="R120" s="2" t="s">
        <v>126</v>
      </c>
    </row>
    <row r="121" spans="1:18" ht="15" customHeight="1">
      <c r="A121" s="2">
        <v>120</v>
      </c>
      <c r="B121" s="2" t="s">
        <v>55</v>
      </c>
      <c r="C121" s="2" t="s">
        <v>20</v>
      </c>
      <c r="D121" s="2" t="s">
        <v>31</v>
      </c>
      <c r="E121" s="2" t="s">
        <v>17</v>
      </c>
      <c r="F121" s="2">
        <v>54968.98</v>
      </c>
      <c r="G121" s="2">
        <v>7816</v>
      </c>
      <c r="H121" s="2">
        <v>0.23200000000000001</v>
      </c>
      <c r="I121" s="2">
        <v>19</v>
      </c>
      <c r="J121" s="2">
        <v>95.7</v>
      </c>
      <c r="K121" s="2">
        <v>7.85</v>
      </c>
      <c r="L121" s="2">
        <v>0</v>
      </c>
      <c r="M121" s="2">
        <v>4.7</v>
      </c>
      <c r="N121" s="2">
        <v>735480.19</v>
      </c>
      <c r="O121" s="2">
        <v>88342.11</v>
      </c>
      <c r="P121" s="2">
        <v>0</v>
      </c>
      <c r="Q121" s="2">
        <v>0</v>
      </c>
      <c r="R121" s="2" t="s">
        <v>126</v>
      </c>
    </row>
    <row r="122" spans="1:18" ht="15" customHeight="1">
      <c r="A122" s="2">
        <v>121</v>
      </c>
      <c r="B122" s="2" t="s">
        <v>56</v>
      </c>
      <c r="C122" s="2" t="s">
        <v>15</v>
      </c>
      <c r="D122" s="2" t="s">
        <v>24</v>
      </c>
      <c r="E122" s="2" t="s">
        <v>22</v>
      </c>
      <c r="F122" s="2">
        <v>43896.13</v>
      </c>
      <c r="G122" s="2">
        <v>3853</v>
      </c>
      <c r="H122" s="2">
        <v>8.7999999999999995E-2</v>
      </c>
      <c r="I122" s="2">
        <v>13</v>
      </c>
      <c r="J122" s="2">
        <v>83</v>
      </c>
      <c r="K122" s="2">
        <v>6.8</v>
      </c>
      <c r="L122" s="2">
        <v>0</v>
      </c>
      <c r="M122" s="2">
        <v>4.4000000000000004</v>
      </c>
      <c r="N122" s="2">
        <v>509484.81</v>
      </c>
      <c r="O122" s="2">
        <v>85742.36</v>
      </c>
      <c r="P122" s="2">
        <v>0</v>
      </c>
      <c r="Q122" s="2">
        <v>0</v>
      </c>
      <c r="R122" s="2" t="s">
        <v>126</v>
      </c>
    </row>
    <row r="123" spans="1:18" ht="15" customHeight="1">
      <c r="A123" s="2">
        <v>122</v>
      </c>
      <c r="B123" s="2" t="s">
        <v>56</v>
      </c>
      <c r="C123" s="2" t="s">
        <v>18</v>
      </c>
      <c r="D123" s="2" t="s">
        <v>24</v>
      </c>
      <c r="E123" s="2" t="s">
        <v>22</v>
      </c>
      <c r="F123" s="2">
        <v>83044.17</v>
      </c>
      <c r="G123" s="2">
        <v>3694</v>
      </c>
      <c r="H123" s="2">
        <v>0</v>
      </c>
      <c r="I123" s="2">
        <v>14</v>
      </c>
      <c r="J123" s="2">
        <v>89.4</v>
      </c>
      <c r="K123" s="2">
        <v>2.2000000000000002</v>
      </c>
      <c r="L123" s="2">
        <v>0</v>
      </c>
      <c r="M123" s="2">
        <v>3.7</v>
      </c>
      <c r="N123" s="2">
        <v>654317.09</v>
      </c>
      <c r="O123" s="2">
        <v>121446.89</v>
      </c>
      <c r="P123" s="2">
        <v>0</v>
      </c>
      <c r="Q123" s="2">
        <v>0</v>
      </c>
      <c r="R123" s="2" t="s">
        <v>126</v>
      </c>
    </row>
    <row r="124" spans="1:18" ht="15" customHeight="1">
      <c r="A124" s="2">
        <v>123</v>
      </c>
      <c r="B124" s="2" t="s">
        <v>56</v>
      </c>
      <c r="C124" s="2" t="s">
        <v>19</v>
      </c>
      <c r="D124" s="2" t="s">
        <v>24</v>
      </c>
      <c r="E124" s="2" t="s">
        <v>22</v>
      </c>
      <c r="F124" s="2">
        <v>48396.13</v>
      </c>
      <c r="G124" s="2">
        <v>4423</v>
      </c>
      <c r="H124" s="2">
        <v>6.9000000000000006E-2</v>
      </c>
      <c r="I124" s="2">
        <v>15</v>
      </c>
      <c r="J124" s="2">
        <v>85.7</v>
      </c>
      <c r="K124" s="2">
        <v>1.88</v>
      </c>
      <c r="L124" s="2">
        <v>0</v>
      </c>
      <c r="M124" s="2">
        <v>3.9</v>
      </c>
      <c r="N124" s="2">
        <v>557487.26</v>
      </c>
      <c r="O124" s="2">
        <v>76432.19</v>
      </c>
      <c r="P124" s="2">
        <v>0</v>
      </c>
      <c r="Q124" s="2">
        <v>0</v>
      </c>
      <c r="R124" s="2" t="s">
        <v>126</v>
      </c>
    </row>
    <row r="125" spans="1:18" ht="15" customHeight="1">
      <c r="A125" s="2">
        <v>124</v>
      </c>
      <c r="B125" s="2" t="s">
        <v>56</v>
      </c>
      <c r="C125" s="2" t="s">
        <v>20</v>
      </c>
      <c r="D125" s="2" t="s">
        <v>24</v>
      </c>
      <c r="E125" s="2" t="s">
        <v>22</v>
      </c>
      <c r="F125" s="2">
        <v>19063.48</v>
      </c>
      <c r="G125" s="2">
        <v>1906</v>
      </c>
      <c r="H125" s="2">
        <v>0.216</v>
      </c>
      <c r="I125" s="2">
        <v>10</v>
      </c>
      <c r="J125" s="2">
        <v>97.8</v>
      </c>
      <c r="K125" s="2">
        <v>15.79</v>
      </c>
      <c r="L125" s="2">
        <v>0</v>
      </c>
      <c r="M125" s="2">
        <v>4.4000000000000004</v>
      </c>
      <c r="N125" s="2">
        <v>441275.42</v>
      </c>
      <c r="O125" s="2">
        <v>58234.87</v>
      </c>
      <c r="P125" s="2">
        <v>0</v>
      </c>
      <c r="Q125" s="2">
        <v>0</v>
      </c>
      <c r="R125" s="2" t="s">
        <v>126</v>
      </c>
    </row>
    <row r="126" spans="1:18" ht="15" customHeight="1">
      <c r="A126" s="2">
        <v>125</v>
      </c>
      <c r="B126" s="2" t="s">
        <v>57</v>
      </c>
      <c r="C126" s="2" t="s">
        <v>15</v>
      </c>
      <c r="D126" s="2" t="s">
        <v>28</v>
      </c>
      <c r="E126" s="2" t="s">
        <v>22</v>
      </c>
      <c r="F126" s="2">
        <v>61541.21</v>
      </c>
      <c r="G126" s="2">
        <v>10396</v>
      </c>
      <c r="H126" s="2">
        <v>0.123</v>
      </c>
      <c r="I126" s="2">
        <v>25</v>
      </c>
      <c r="J126" s="2">
        <v>88.1</v>
      </c>
      <c r="K126" s="2">
        <v>2.34</v>
      </c>
      <c r="L126" s="2">
        <v>1</v>
      </c>
      <c r="M126" s="2">
        <v>4.8</v>
      </c>
      <c r="N126" s="2">
        <v>914544.17</v>
      </c>
      <c r="O126" s="2">
        <v>79831.73</v>
      </c>
      <c r="P126" s="2">
        <v>0</v>
      </c>
      <c r="Q126" s="2">
        <v>0</v>
      </c>
      <c r="R126" s="2" t="s">
        <v>126</v>
      </c>
    </row>
    <row r="127" spans="1:18" ht="15" customHeight="1">
      <c r="A127" s="2">
        <v>126</v>
      </c>
      <c r="B127" s="2" t="s">
        <v>57</v>
      </c>
      <c r="C127" s="2" t="s">
        <v>18</v>
      </c>
      <c r="D127" s="2" t="s">
        <v>28</v>
      </c>
      <c r="E127" s="2" t="s">
        <v>22</v>
      </c>
      <c r="F127" s="2">
        <v>44747</v>
      </c>
      <c r="G127" s="2">
        <v>11076</v>
      </c>
      <c r="H127" s="2">
        <v>0.17599999999999999</v>
      </c>
      <c r="I127" s="2">
        <v>27</v>
      </c>
      <c r="J127" s="2">
        <v>98.3</v>
      </c>
      <c r="K127" s="2">
        <v>0.54</v>
      </c>
      <c r="L127" s="2">
        <v>0</v>
      </c>
      <c r="M127" s="2">
        <v>4.4000000000000004</v>
      </c>
      <c r="N127" s="2">
        <v>842439.67</v>
      </c>
      <c r="O127" s="2">
        <v>169983.63</v>
      </c>
      <c r="P127" s="2">
        <v>0</v>
      </c>
      <c r="Q127" s="2">
        <v>0</v>
      </c>
      <c r="R127" s="2" t="s">
        <v>126</v>
      </c>
    </row>
    <row r="128" spans="1:18" ht="15" customHeight="1">
      <c r="A128" s="2">
        <v>127</v>
      </c>
      <c r="B128" s="2" t="s">
        <v>57</v>
      </c>
      <c r="C128" s="2" t="s">
        <v>19</v>
      </c>
      <c r="D128" s="2" t="s">
        <v>28</v>
      </c>
      <c r="E128" s="2" t="s">
        <v>22</v>
      </c>
      <c r="F128" s="2">
        <v>56517.9</v>
      </c>
      <c r="G128" s="2">
        <v>9574</v>
      </c>
      <c r="H128" s="2">
        <v>0.20399999999999999</v>
      </c>
      <c r="I128" s="2">
        <v>20</v>
      </c>
      <c r="J128" s="2">
        <v>88.2</v>
      </c>
      <c r="K128" s="2">
        <v>5.37</v>
      </c>
      <c r="L128" s="2">
        <v>1</v>
      </c>
      <c r="M128" s="2">
        <v>4.9000000000000004</v>
      </c>
      <c r="N128" s="2">
        <v>842157.92</v>
      </c>
      <c r="O128" s="2">
        <v>107348.22</v>
      </c>
      <c r="P128" s="2">
        <v>0</v>
      </c>
      <c r="Q128" s="2">
        <v>0</v>
      </c>
      <c r="R128" s="2" t="s">
        <v>126</v>
      </c>
    </row>
    <row r="129" spans="1:18" ht="15" customHeight="1">
      <c r="A129" s="2">
        <v>128</v>
      </c>
      <c r="B129" s="2" t="s">
        <v>57</v>
      </c>
      <c r="C129" s="2" t="s">
        <v>20</v>
      </c>
      <c r="D129" s="2" t="s">
        <v>28</v>
      </c>
      <c r="E129" s="2" t="s">
        <v>22</v>
      </c>
      <c r="F129" s="2">
        <v>37828.5</v>
      </c>
      <c r="G129" s="2">
        <v>8221</v>
      </c>
      <c r="H129" s="2">
        <v>9.6000000000000002E-2</v>
      </c>
      <c r="I129" s="2">
        <v>19</v>
      </c>
      <c r="J129" s="2">
        <v>81.5</v>
      </c>
      <c r="K129" s="2">
        <v>3.19</v>
      </c>
      <c r="L129" s="2">
        <v>0</v>
      </c>
      <c r="M129" s="2">
        <v>4.8</v>
      </c>
      <c r="N129" s="2">
        <v>697155.3</v>
      </c>
      <c r="O129" s="2">
        <v>136408.54</v>
      </c>
      <c r="P129" s="2">
        <v>0</v>
      </c>
      <c r="Q129" s="2">
        <v>0</v>
      </c>
      <c r="R129" s="2" t="s">
        <v>126</v>
      </c>
    </row>
    <row r="130" spans="1:18" ht="15" customHeight="1">
      <c r="A130" s="2">
        <v>129</v>
      </c>
      <c r="B130" s="2" t="s">
        <v>58</v>
      </c>
      <c r="C130" s="2" t="s">
        <v>15</v>
      </c>
      <c r="D130" s="2" t="s">
        <v>16</v>
      </c>
      <c r="E130" s="2" t="s">
        <v>22</v>
      </c>
      <c r="F130" s="2">
        <v>66250.53</v>
      </c>
      <c r="G130" s="2">
        <v>10618</v>
      </c>
      <c r="H130" s="2">
        <v>0.14199999999999999</v>
      </c>
      <c r="I130" s="2">
        <v>27</v>
      </c>
      <c r="J130" s="2">
        <v>88.3</v>
      </c>
      <c r="K130" s="2">
        <v>1.1000000000000001</v>
      </c>
      <c r="L130" s="2">
        <v>1</v>
      </c>
      <c r="M130" s="2">
        <v>4.4000000000000004</v>
      </c>
      <c r="N130" s="2">
        <v>849018.3</v>
      </c>
      <c r="O130" s="2">
        <v>149035.13</v>
      </c>
      <c r="P130" s="2">
        <v>0</v>
      </c>
      <c r="Q130" s="2">
        <v>0</v>
      </c>
      <c r="R130" s="2" t="s">
        <v>126</v>
      </c>
    </row>
    <row r="131" spans="1:18" ht="15" customHeight="1">
      <c r="A131" s="2">
        <v>130</v>
      </c>
      <c r="B131" s="2" t="s">
        <v>58</v>
      </c>
      <c r="C131" s="2" t="s">
        <v>18</v>
      </c>
      <c r="D131" s="2" t="s">
        <v>16</v>
      </c>
      <c r="E131" s="2" t="s">
        <v>22</v>
      </c>
      <c r="F131" s="2">
        <v>68410.929999999993</v>
      </c>
      <c r="G131" s="2">
        <v>10596</v>
      </c>
      <c r="H131" s="2">
        <v>0.20699999999999999</v>
      </c>
      <c r="I131" s="2">
        <v>25</v>
      </c>
      <c r="J131" s="2">
        <v>81.2</v>
      </c>
      <c r="K131" s="2">
        <v>0.21</v>
      </c>
      <c r="L131" s="2">
        <v>0</v>
      </c>
      <c r="M131" s="2">
        <v>4</v>
      </c>
      <c r="N131" s="2">
        <v>801830.35</v>
      </c>
      <c r="O131" s="2">
        <v>114875.32</v>
      </c>
      <c r="P131" s="2">
        <v>0</v>
      </c>
      <c r="Q131" s="2">
        <v>0</v>
      </c>
      <c r="R131" s="2" t="s">
        <v>126</v>
      </c>
    </row>
    <row r="132" spans="1:18" ht="15" customHeight="1">
      <c r="A132" s="2">
        <v>131</v>
      </c>
      <c r="B132" s="2" t="s">
        <v>58</v>
      </c>
      <c r="C132" s="2" t="s">
        <v>19</v>
      </c>
      <c r="D132" s="2" t="s">
        <v>16</v>
      </c>
      <c r="E132" s="2" t="s">
        <v>22</v>
      </c>
      <c r="F132" s="2">
        <v>50735.63</v>
      </c>
      <c r="G132" s="2">
        <v>9619</v>
      </c>
      <c r="H132" s="2">
        <v>0.14399999999999999</v>
      </c>
      <c r="I132" s="2">
        <v>19</v>
      </c>
      <c r="J132" s="2">
        <v>93.8</v>
      </c>
      <c r="K132" s="2">
        <v>5.12</v>
      </c>
      <c r="L132" s="2">
        <v>1</v>
      </c>
      <c r="M132" s="2">
        <v>4.5</v>
      </c>
      <c r="N132" s="2">
        <v>725235.28</v>
      </c>
      <c r="O132" s="2">
        <v>121632.24</v>
      </c>
      <c r="P132" s="2">
        <v>0</v>
      </c>
      <c r="Q132" s="2">
        <v>0</v>
      </c>
      <c r="R132" s="2" t="s">
        <v>126</v>
      </c>
    </row>
    <row r="133" spans="1:18" ht="15" customHeight="1">
      <c r="A133" s="2">
        <v>132</v>
      </c>
      <c r="B133" s="2" t="s">
        <v>58</v>
      </c>
      <c r="C133" s="2" t="s">
        <v>20</v>
      </c>
      <c r="D133" s="2" t="s">
        <v>16</v>
      </c>
      <c r="E133" s="2" t="s">
        <v>22</v>
      </c>
      <c r="F133" s="2">
        <v>66455.8</v>
      </c>
      <c r="G133" s="2">
        <v>10836</v>
      </c>
      <c r="H133" s="2">
        <v>8.8999999999999996E-2</v>
      </c>
      <c r="I133" s="2">
        <v>25</v>
      </c>
      <c r="J133" s="2">
        <v>85</v>
      </c>
      <c r="K133" s="2">
        <v>9.77</v>
      </c>
      <c r="L133" s="2">
        <v>0</v>
      </c>
      <c r="M133" s="2">
        <v>4.5</v>
      </c>
      <c r="N133" s="2">
        <v>811452.72</v>
      </c>
      <c r="O133" s="2">
        <v>131325.67000000001</v>
      </c>
      <c r="P133" s="2">
        <v>0</v>
      </c>
      <c r="Q133" s="2">
        <v>0</v>
      </c>
      <c r="R133" s="2" t="s">
        <v>126</v>
      </c>
    </row>
    <row r="134" spans="1:18" ht="15" customHeight="1">
      <c r="A134" s="2">
        <v>133</v>
      </c>
      <c r="B134" s="2" t="s">
        <v>59</v>
      </c>
      <c r="C134" s="2" t="s">
        <v>15</v>
      </c>
      <c r="D134" s="2" t="s">
        <v>24</v>
      </c>
      <c r="E134" s="2" t="s">
        <v>22</v>
      </c>
      <c r="F134" s="2">
        <v>70276.28</v>
      </c>
      <c r="G134" s="2">
        <v>3043</v>
      </c>
      <c r="H134" s="2">
        <v>7.9000000000000001E-2</v>
      </c>
      <c r="I134" s="2">
        <v>9</v>
      </c>
      <c r="J134" s="2">
        <v>87.9</v>
      </c>
      <c r="K134" s="2">
        <v>3.77</v>
      </c>
      <c r="L134" s="2">
        <v>0</v>
      </c>
      <c r="M134" s="2">
        <v>4.4000000000000004</v>
      </c>
      <c r="N134" s="2">
        <v>527300.13</v>
      </c>
      <c r="O134" s="2">
        <v>84197.87</v>
      </c>
      <c r="P134" s="2">
        <v>0</v>
      </c>
      <c r="Q134" s="2">
        <v>0</v>
      </c>
      <c r="R134" s="2" t="s">
        <v>126</v>
      </c>
    </row>
    <row r="135" spans="1:18" ht="15" customHeight="1">
      <c r="A135" s="2">
        <v>134</v>
      </c>
      <c r="B135" s="2" t="s">
        <v>59</v>
      </c>
      <c r="C135" s="2" t="s">
        <v>18</v>
      </c>
      <c r="D135" s="2" t="s">
        <v>24</v>
      </c>
      <c r="E135" s="2" t="s">
        <v>22</v>
      </c>
      <c r="F135" s="2">
        <v>22071.64</v>
      </c>
      <c r="G135" s="2">
        <v>1814</v>
      </c>
      <c r="H135" s="2">
        <v>0.19600000000000001</v>
      </c>
      <c r="I135" s="2">
        <v>8</v>
      </c>
      <c r="J135" s="2">
        <v>81.099999999999994</v>
      </c>
      <c r="K135" s="2">
        <v>0.78</v>
      </c>
      <c r="L135" s="2">
        <v>0</v>
      </c>
      <c r="M135" s="2">
        <v>3.9</v>
      </c>
      <c r="N135" s="2">
        <v>400831.65</v>
      </c>
      <c r="O135" s="2">
        <v>70979.31</v>
      </c>
      <c r="P135" s="2">
        <v>1</v>
      </c>
      <c r="Q135" s="2">
        <v>0</v>
      </c>
      <c r="R135" s="2" t="s">
        <v>127</v>
      </c>
    </row>
    <row r="136" spans="1:18" ht="15" customHeight="1">
      <c r="A136" s="2">
        <v>135</v>
      </c>
      <c r="B136" s="2" t="s">
        <v>59</v>
      </c>
      <c r="C136" s="2" t="s">
        <v>19</v>
      </c>
      <c r="D136" s="2" t="s">
        <v>24</v>
      </c>
      <c r="E136" s="2" t="s">
        <v>22</v>
      </c>
      <c r="F136" s="2">
        <v>52285.45</v>
      </c>
      <c r="G136" s="2">
        <v>3618</v>
      </c>
      <c r="H136" s="2">
        <v>8.5999999999999993E-2</v>
      </c>
      <c r="I136" s="2">
        <v>11</v>
      </c>
      <c r="J136" s="2">
        <v>95.6</v>
      </c>
      <c r="K136" s="2">
        <v>5.17</v>
      </c>
      <c r="L136" s="2">
        <v>1</v>
      </c>
      <c r="M136" s="2">
        <v>4.4000000000000004</v>
      </c>
      <c r="N136" s="2">
        <v>593247.25</v>
      </c>
      <c r="O136" s="2">
        <v>81240.289999999994</v>
      </c>
      <c r="P136" s="2">
        <v>0</v>
      </c>
      <c r="Q136" s="2">
        <v>0</v>
      </c>
      <c r="R136" s="2" t="s">
        <v>126</v>
      </c>
    </row>
    <row r="137" spans="1:18" ht="15" customHeight="1">
      <c r="A137" s="2">
        <v>136</v>
      </c>
      <c r="B137" s="2" t="s">
        <v>59</v>
      </c>
      <c r="C137" s="2" t="s">
        <v>20</v>
      </c>
      <c r="D137" s="2" t="s">
        <v>24</v>
      </c>
      <c r="E137" s="2" t="s">
        <v>22</v>
      </c>
      <c r="F137" s="2">
        <v>70366.759999999995</v>
      </c>
      <c r="G137" s="2">
        <v>1963</v>
      </c>
      <c r="H137" s="2">
        <v>0.182</v>
      </c>
      <c r="I137" s="2">
        <v>8</v>
      </c>
      <c r="J137" s="2">
        <v>89.8</v>
      </c>
      <c r="K137" s="2">
        <v>3.2</v>
      </c>
      <c r="L137" s="2">
        <v>0</v>
      </c>
      <c r="M137" s="2">
        <v>4.5999999999999996</v>
      </c>
      <c r="N137" s="2">
        <v>529075.94999999995</v>
      </c>
      <c r="O137" s="2">
        <v>95978.83</v>
      </c>
      <c r="P137" s="2">
        <v>0</v>
      </c>
      <c r="Q137" s="2">
        <v>0</v>
      </c>
      <c r="R137" s="2" t="s">
        <v>126</v>
      </c>
    </row>
    <row r="138" spans="1:18" ht="15" customHeight="1">
      <c r="A138" s="2">
        <v>137</v>
      </c>
      <c r="B138" s="2" t="s">
        <v>60</v>
      </c>
      <c r="C138" s="2" t="s">
        <v>15</v>
      </c>
      <c r="D138" s="2" t="s">
        <v>28</v>
      </c>
      <c r="E138" s="2" t="s">
        <v>17</v>
      </c>
      <c r="F138" s="2">
        <v>71320.66</v>
      </c>
      <c r="G138" s="2">
        <v>7888</v>
      </c>
      <c r="H138" s="2">
        <v>4.8000000000000001E-2</v>
      </c>
      <c r="I138" s="2">
        <v>20</v>
      </c>
      <c r="J138" s="2">
        <v>78.099999999999994</v>
      </c>
      <c r="K138" s="2">
        <v>3.4</v>
      </c>
      <c r="L138" s="2">
        <v>0</v>
      </c>
      <c r="M138" s="2">
        <v>3.9</v>
      </c>
      <c r="N138" s="2">
        <v>633638.03</v>
      </c>
      <c r="O138" s="2">
        <v>99402.01</v>
      </c>
      <c r="P138" s="2">
        <v>1</v>
      </c>
      <c r="Q138" s="2">
        <v>0</v>
      </c>
      <c r="R138" s="2" t="s">
        <v>127</v>
      </c>
    </row>
    <row r="139" spans="1:18" ht="15" customHeight="1">
      <c r="A139" s="2">
        <v>138</v>
      </c>
      <c r="B139" s="2" t="s">
        <v>60</v>
      </c>
      <c r="C139" s="2" t="s">
        <v>18</v>
      </c>
      <c r="D139" s="2" t="s">
        <v>28</v>
      </c>
      <c r="E139" s="2" t="s">
        <v>17</v>
      </c>
      <c r="F139" s="2">
        <v>75109.67</v>
      </c>
      <c r="G139" s="2">
        <v>6244</v>
      </c>
      <c r="H139" s="2">
        <v>7.9000000000000001E-2</v>
      </c>
      <c r="I139" s="2">
        <v>15</v>
      </c>
      <c r="J139" s="2">
        <v>96.3</v>
      </c>
      <c r="K139" s="2">
        <v>7.38</v>
      </c>
      <c r="L139" s="2">
        <v>0</v>
      </c>
      <c r="M139" s="2">
        <v>3.7</v>
      </c>
      <c r="N139" s="2">
        <v>743348.84</v>
      </c>
      <c r="O139" s="2">
        <v>104186.09</v>
      </c>
      <c r="P139" s="2">
        <v>0</v>
      </c>
      <c r="Q139" s="2">
        <v>0</v>
      </c>
      <c r="R139" s="2" t="s">
        <v>126</v>
      </c>
    </row>
    <row r="140" spans="1:18" ht="15" customHeight="1">
      <c r="A140" s="2">
        <v>139</v>
      </c>
      <c r="B140" s="2" t="s">
        <v>60</v>
      </c>
      <c r="C140" s="2" t="s">
        <v>19</v>
      </c>
      <c r="D140" s="2" t="s">
        <v>28</v>
      </c>
      <c r="E140" s="2" t="s">
        <v>17</v>
      </c>
      <c r="F140" s="2">
        <v>69779</v>
      </c>
      <c r="G140" s="2">
        <v>6544</v>
      </c>
      <c r="H140" s="2">
        <v>0.152</v>
      </c>
      <c r="I140" s="2">
        <v>18</v>
      </c>
      <c r="J140" s="2">
        <v>90.2</v>
      </c>
      <c r="K140" s="2">
        <v>0.85</v>
      </c>
      <c r="L140" s="2">
        <v>1</v>
      </c>
      <c r="M140" s="2">
        <v>3.3</v>
      </c>
      <c r="N140" s="2">
        <v>758827.64</v>
      </c>
      <c r="O140" s="2">
        <v>161439.48000000001</v>
      </c>
      <c r="P140" s="2">
        <v>0</v>
      </c>
      <c r="Q140" s="2">
        <v>0</v>
      </c>
      <c r="R140" s="2" t="s">
        <v>126</v>
      </c>
    </row>
    <row r="141" spans="1:18" ht="15" customHeight="1">
      <c r="A141" s="2">
        <v>140</v>
      </c>
      <c r="B141" s="2" t="s">
        <v>60</v>
      </c>
      <c r="C141" s="2" t="s">
        <v>20</v>
      </c>
      <c r="D141" s="2" t="s">
        <v>28</v>
      </c>
      <c r="E141" s="2" t="s">
        <v>17</v>
      </c>
      <c r="F141" s="2">
        <v>44211.95</v>
      </c>
      <c r="G141" s="2">
        <v>5465</v>
      </c>
      <c r="H141" s="2">
        <v>0.187</v>
      </c>
      <c r="I141" s="2">
        <v>12</v>
      </c>
      <c r="J141" s="2">
        <v>90</v>
      </c>
      <c r="K141" s="2">
        <v>2.89</v>
      </c>
      <c r="L141" s="2">
        <v>0</v>
      </c>
      <c r="M141" s="2">
        <v>3.6</v>
      </c>
      <c r="N141" s="2">
        <v>646559.71</v>
      </c>
      <c r="O141" s="2">
        <v>97981.75</v>
      </c>
      <c r="P141" s="2">
        <v>0</v>
      </c>
      <c r="Q141" s="2">
        <v>0</v>
      </c>
      <c r="R141" s="2" t="s">
        <v>126</v>
      </c>
    </row>
    <row r="142" spans="1:18" ht="15" customHeight="1">
      <c r="A142" s="2">
        <v>141</v>
      </c>
      <c r="B142" s="2" t="s">
        <v>61</v>
      </c>
      <c r="C142" s="2" t="s">
        <v>15</v>
      </c>
      <c r="D142" s="2" t="s">
        <v>31</v>
      </c>
      <c r="E142" s="2" t="s">
        <v>22</v>
      </c>
      <c r="F142" s="2">
        <v>51430.31</v>
      </c>
      <c r="G142" s="2">
        <v>6427</v>
      </c>
      <c r="H142" s="2">
        <v>0.23400000000000001</v>
      </c>
      <c r="I142" s="2">
        <v>14</v>
      </c>
      <c r="J142" s="2">
        <v>88.8</v>
      </c>
      <c r="K142" s="2">
        <v>0.77</v>
      </c>
      <c r="L142" s="2">
        <v>0</v>
      </c>
      <c r="M142" s="2">
        <v>4.0999999999999996</v>
      </c>
      <c r="N142" s="2">
        <v>715890.53</v>
      </c>
      <c r="O142" s="2">
        <v>109032.15</v>
      </c>
      <c r="P142" s="2">
        <v>0</v>
      </c>
      <c r="Q142" s="2">
        <v>0</v>
      </c>
      <c r="R142" s="2" t="s">
        <v>126</v>
      </c>
    </row>
    <row r="143" spans="1:18" ht="15" customHeight="1">
      <c r="A143" s="2">
        <v>142</v>
      </c>
      <c r="B143" s="2" t="s">
        <v>61</v>
      </c>
      <c r="C143" s="2" t="s">
        <v>18</v>
      </c>
      <c r="D143" s="2" t="s">
        <v>31</v>
      </c>
      <c r="E143" s="2" t="s">
        <v>22</v>
      </c>
      <c r="F143" s="2">
        <v>45706.49</v>
      </c>
      <c r="G143" s="2">
        <v>6704</v>
      </c>
      <c r="H143" s="2">
        <v>3.7999999999999999E-2</v>
      </c>
      <c r="I143" s="2">
        <v>15</v>
      </c>
      <c r="J143" s="2">
        <v>94.2</v>
      </c>
      <c r="K143" s="2">
        <v>2.92</v>
      </c>
      <c r="L143" s="2">
        <v>0</v>
      </c>
      <c r="M143" s="2">
        <v>4.2</v>
      </c>
      <c r="N143" s="2">
        <v>715097.57</v>
      </c>
      <c r="O143" s="2">
        <v>151875.85999999999</v>
      </c>
      <c r="P143" s="2">
        <v>0</v>
      </c>
      <c r="Q143" s="2">
        <v>0</v>
      </c>
      <c r="R143" s="2" t="s">
        <v>126</v>
      </c>
    </row>
    <row r="144" spans="1:18" ht="15" customHeight="1">
      <c r="A144" s="2">
        <v>143</v>
      </c>
      <c r="B144" s="2" t="s">
        <v>61</v>
      </c>
      <c r="C144" s="2" t="s">
        <v>19</v>
      </c>
      <c r="D144" s="2" t="s">
        <v>31</v>
      </c>
      <c r="E144" s="2" t="s">
        <v>22</v>
      </c>
      <c r="F144" s="2">
        <v>44034.6</v>
      </c>
      <c r="G144" s="2">
        <v>5645</v>
      </c>
      <c r="H144" s="2">
        <v>6.9000000000000006E-2</v>
      </c>
      <c r="I144" s="2">
        <v>18</v>
      </c>
      <c r="J144" s="2">
        <v>88.5</v>
      </c>
      <c r="K144" s="2">
        <v>3.07</v>
      </c>
      <c r="L144" s="2">
        <v>0</v>
      </c>
      <c r="M144" s="2">
        <v>3.8</v>
      </c>
      <c r="N144" s="2">
        <v>682639.28</v>
      </c>
      <c r="O144" s="2">
        <v>77557.53</v>
      </c>
      <c r="P144" s="2">
        <v>0</v>
      </c>
      <c r="Q144" s="2">
        <v>0</v>
      </c>
      <c r="R144" s="2" t="s">
        <v>126</v>
      </c>
    </row>
    <row r="145" spans="1:18" ht="15" customHeight="1">
      <c r="A145" s="2">
        <v>144</v>
      </c>
      <c r="B145" s="2" t="s">
        <v>61</v>
      </c>
      <c r="C145" s="2" t="s">
        <v>20</v>
      </c>
      <c r="D145" s="2" t="s">
        <v>31</v>
      </c>
      <c r="E145" s="2" t="s">
        <v>22</v>
      </c>
      <c r="F145" s="2">
        <v>50198.12</v>
      </c>
      <c r="G145" s="2">
        <v>6089</v>
      </c>
      <c r="H145" s="2">
        <v>0.182</v>
      </c>
      <c r="I145" s="2">
        <v>19</v>
      </c>
      <c r="J145" s="2">
        <v>94</v>
      </c>
      <c r="K145" s="2">
        <v>9.6999999999999993</v>
      </c>
      <c r="L145" s="2">
        <v>0</v>
      </c>
      <c r="M145" s="2">
        <v>3.9</v>
      </c>
      <c r="N145" s="2">
        <v>695098.51</v>
      </c>
      <c r="O145" s="2">
        <v>108192.75</v>
      </c>
      <c r="P145" s="2">
        <v>0</v>
      </c>
      <c r="Q145" s="2">
        <v>0</v>
      </c>
      <c r="R145" s="2" t="s">
        <v>126</v>
      </c>
    </row>
    <row r="146" spans="1:18" ht="15" customHeight="1">
      <c r="A146" s="2">
        <v>145</v>
      </c>
      <c r="B146" s="2" t="s">
        <v>62</v>
      </c>
      <c r="C146" s="2" t="s">
        <v>15</v>
      </c>
      <c r="D146" s="2" t="s">
        <v>24</v>
      </c>
      <c r="E146" s="2" t="s">
        <v>17</v>
      </c>
      <c r="F146" s="2">
        <v>70488.2</v>
      </c>
      <c r="G146" s="2">
        <v>4312</v>
      </c>
      <c r="H146" s="2">
        <v>0.16900000000000001</v>
      </c>
      <c r="I146" s="2">
        <v>12</v>
      </c>
      <c r="J146" s="2">
        <v>90.2</v>
      </c>
      <c r="K146" s="2">
        <v>3.71</v>
      </c>
      <c r="L146" s="2">
        <v>0</v>
      </c>
      <c r="M146" s="2">
        <v>3.2</v>
      </c>
      <c r="N146" s="2">
        <v>577732.56999999995</v>
      </c>
      <c r="O146" s="2">
        <v>93804.27</v>
      </c>
      <c r="P146" s="2">
        <v>0</v>
      </c>
      <c r="Q146" s="2">
        <v>0</v>
      </c>
      <c r="R146" s="2" t="s">
        <v>126</v>
      </c>
    </row>
    <row r="147" spans="1:18" ht="15" customHeight="1">
      <c r="A147" s="2">
        <v>146</v>
      </c>
      <c r="B147" s="2" t="s">
        <v>62</v>
      </c>
      <c r="C147" s="2" t="s">
        <v>18</v>
      </c>
      <c r="D147" s="2" t="s">
        <v>24</v>
      </c>
      <c r="E147" s="2" t="s">
        <v>17</v>
      </c>
      <c r="F147" s="2">
        <v>50909.27</v>
      </c>
      <c r="G147" s="2">
        <v>3152</v>
      </c>
      <c r="H147" s="2">
        <v>0.06</v>
      </c>
      <c r="I147" s="2">
        <v>13</v>
      </c>
      <c r="J147" s="2">
        <v>93.7</v>
      </c>
      <c r="K147" s="2">
        <v>10.79</v>
      </c>
      <c r="L147" s="2">
        <v>0</v>
      </c>
      <c r="M147" s="2">
        <v>3.5</v>
      </c>
      <c r="N147" s="2">
        <v>537058.32999999996</v>
      </c>
      <c r="O147" s="2">
        <v>93555.71</v>
      </c>
      <c r="P147" s="2">
        <v>0</v>
      </c>
      <c r="Q147" s="2">
        <v>0</v>
      </c>
      <c r="R147" s="2" t="s">
        <v>126</v>
      </c>
    </row>
    <row r="148" spans="1:18" ht="15" customHeight="1">
      <c r="A148" s="2">
        <v>147</v>
      </c>
      <c r="B148" s="2" t="s">
        <v>62</v>
      </c>
      <c r="C148" s="2" t="s">
        <v>19</v>
      </c>
      <c r="D148" s="2" t="s">
        <v>24</v>
      </c>
      <c r="E148" s="2" t="s">
        <v>17</v>
      </c>
      <c r="F148" s="2">
        <v>53351.7</v>
      </c>
      <c r="G148" s="2">
        <v>4259</v>
      </c>
      <c r="H148" s="2">
        <v>0.156</v>
      </c>
      <c r="I148" s="2">
        <v>15</v>
      </c>
      <c r="J148" s="2">
        <v>93.7</v>
      </c>
      <c r="K148" s="2">
        <v>6.03</v>
      </c>
      <c r="L148" s="2">
        <v>0</v>
      </c>
      <c r="M148" s="2">
        <v>3.4</v>
      </c>
      <c r="N148" s="2">
        <v>601568.87</v>
      </c>
      <c r="O148" s="2">
        <v>91634.82</v>
      </c>
      <c r="P148" s="2">
        <v>0</v>
      </c>
      <c r="Q148" s="2">
        <v>0</v>
      </c>
      <c r="R148" s="2" t="s">
        <v>126</v>
      </c>
    </row>
    <row r="149" spans="1:18" ht="15" customHeight="1">
      <c r="A149" s="2">
        <v>148</v>
      </c>
      <c r="B149" s="2" t="s">
        <v>62</v>
      </c>
      <c r="C149" s="2" t="s">
        <v>20</v>
      </c>
      <c r="D149" s="2" t="s">
        <v>24</v>
      </c>
      <c r="E149" s="2" t="s">
        <v>17</v>
      </c>
      <c r="F149" s="2">
        <v>60322.400000000001</v>
      </c>
      <c r="G149" s="2">
        <v>3350</v>
      </c>
      <c r="H149" s="2">
        <v>0.108</v>
      </c>
      <c r="I149" s="2">
        <v>12</v>
      </c>
      <c r="J149" s="2">
        <v>89.4</v>
      </c>
      <c r="K149" s="2">
        <v>4.92</v>
      </c>
      <c r="L149" s="2">
        <v>0</v>
      </c>
      <c r="M149" s="2">
        <v>3.4</v>
      </c>
      <c r="N149" s="2">
        <v>570964.84</v>
      </c>
      <c r="O149" s="2">
        <v>81331.070000000007</v>
      </c>
      <c r="P149" s="2">
        <v>0</v>
      </c>
      <c r="Q149" s="2">
        <v>0</v>
      </c>
      <c r="R149" s="2" t="s">
        <v>126</v>
      </c>
    </row>
    <row r="150" spans="1:18" ht="15" customHeight="1">
      <c r="A150" s="2">
        <v>149</v>
      </c>
      <c r="B150" s="2" t="s">
        <v>63</v>
      </c>
      <c r="C150" s="2" t="s">
        <v>15</v>
      </c>
      <c r="D150" s="2" t="s">
        <v>28</v>
      </c>
      <c r="E150" s="2" t="s">
        <v>32</v>
      </c>
      <c r="F150" s="2">
        <v>51575.68</v>
      </c>
      <c r="G150" s="2">
        <v>5329</v>
      </c>
      <c r="H150" s="2">
        <v>4.7E-2</v>
      </c>
      <c r="I150" s="2">
        <v>17</v>
      </c>
      <c r="J150" s="2">
        <v>88.1</v>
      </c>
      <c r="K150" s="2">
        <v>19.78</v>
      </c>
      <c r="L150" s="2">
        <v>0</v>
      </c>
      <c r="M150" s="2">
        <v>3.8</v>
      </c>
      <c r="N150" s="2">
        <v>614024.91</v>
      </c>
      <c r="O150" s="2">
        <v>84828.93</v>
      </c>
      <c r="P150" s="2">
        <v>0</v>
      </c>
      <c r="Q150" s="2">
        <v>0</v>
      </c>
      <c r="R150" s="2" t="s">
        <v>126</v>
      </c>
    </row>
    <row r="151" spans="1:18" ht="15" customHeight="1">
      <c r="A151" s="2">
        <v>150</v>
      </c>
      <c r="B151" s="2" t="s">
        <v>63</v>
      </c>
      <c r="C151" s="2" t="s">
        <v>18</v>
      </c>
      <c r="D151" s="2" t="s">
        <v>28</v>
      </c>
      <c r="E151" s="2" t="s">
        <v>32</v>
      </c>
      <c r="F151" s="2">
        <v>43319.94</v>
      </c>
      <c r="G151" s="2">
        <v>6551</v>
      </c>
      <c r="H151" s="2">
        <v>4.3999999999999997E-2</v>
      </c>
      <c r="I151" s="2">
        <v>13</v>
      </c>
      <c r="J151" s="2">
        <v>99</v>
      </c>
      <c r="K151" s="2">
        <v>5.45</v>
      </c>
      <c r="L151" s="2">
        <v>0</v>
      </c>
      <c r="M151" s="2">
        <v>4.0999999999999996</v>
      </c>
      <c r="N151" s="2">
        <v>712868.35</v>
      </c>
      <c r="O151" s="2">
        <v>133650.51</v>
      </c>
      <c r="P151" s="2">
        <v>0</v>
      </c>
      <c r="Q151" s="2">
        <v>0</v>
      </c>
      <c r="R151" s="2" t="s">
        <v>126</v>
      </c>
    </row>
    <row r="152" spans="1:18" ht="15" customHeight="1">
      <c r="A152" s="2">
        <v>151</v>
      </c>
      <c r="B152" s="2" t="s">
        <v>63</v>
      </c>
      <c r="C152" s="2" t="s">
        <v>19</v>
      </c>
      <c r="D152" s="2" t="s">
        <v>28</v>
      </c>
      <c r="E152" s="2" t="s">
        <v>32</v>
      </c>
      <c r="F152" s="2">
        <v>47093.55</v>
      </c>
      <c r="G152" s="2">
        <v>5550</v>
      </c>
      <c r="H152" s="2">
        <v>0.1</v>
      </c>
      <c r="I152" s="2">
        <v>12</v>
      </c>
      <c r="J152" s="2">
        <v>95</v>
      </c>
      <c r="K152" s="2">
        <v>2.33</v>
      </c>
      <c r="L152" s="2">
        <v>1</v>
      </c>
      <c r="M152" s="2">
        <v>3.7</v>
      </c>
      <c r="N152" s="2">
        <v>696744.15</v>
      </c>
      <c r="O152" s="2">
        <v>152230.09</v>
      </c>
      <c r="P152" s="2">
        <v>0</v>
      </c>
      <c r="Q152" s="2">
        <v>0</v>
      </c>
      <c r="R152" s="2" t="s">
        <v>126</v>
      </c>
    </row>
    <row r="153" spans="1:18" ht="15" customHeight="1">
      <c r="A153" s="2">
        <v>152</v>
      </c>
      <c r="B153" s="2" t="s">
        <v>63</v>
      </c>
      <c r="C153" s="2" t="s">
        <v>20</v>
      </c>
      <c r="D153" s="2" t="s">
        <v>28</v>
      </c>
      <c r="E153" s="2" t="s">
        <v>32</v>
      </c>
      <c r="F153" s="2">
        <v>71855.09</v>
      </c>
      <c r="G153" s="2">
        <v>5911</v>
      </c>
      <c r="H153" s="2">
        <v>0.19700000000000001</v>
      </c>
      <c r="I153" s="2">
        <v>15</v>
      </c>
      <c r="J153" s="2">
        <v>94.3</v>
      </c>
      <c r="K153" s="2">
        <v>3.55</v>
      </c>
      <c r="L153" s="2">
        <v>0</v>
      </c>
      <c r="M153" s="2">
        <v>4.0999999999999996</v>
      </c>
      <c r="N153" s="2">
        <v>725847.99</v>
      </c>
      <c r="O153" s="2">
        <v>122698.73</v>
      </c>
      <c r="P153" s="2">
        <v>0</v>
      </c>
      <c r="Q153" s="2">
        <v>0</v>
      </c>
      <c r="R153" s="2" t="s">
        <v>126</v>
      </c>
    </row>
    <row r="154" spans="1:18" ht="15" customHeight="1">
      <c r="A154" s="2">
        <v>153</v>
      </c>
      <c r="B154" s="2" t="s">
        <v>64</v>
      </c>
      <c r="C154" s="2" t="s">
        <v>15</v>
      </c>
      <c r="D154" s="2" t="s">
        <v>16</v>
      </c>
      <c r="E154" s="2" t="s">
        <v>22</v>
      </c>
      <c r="F154" s="2">
        <v>75645.23</v>
      </c>
      <c r="G154" s="2">
        <v>9674</v>
      </c>
      <c r="H154" s="2">
        <v>0.23400000000000001</v>
      </c>
      <c r="I154" s="2">
        <v>21</v>
      </c>
      <c r="J154" s="2">
        <v>87.4</v>
      </c>
      <c r="K154" s="2">
        <v>0.2</v>
      </c>
      <c r="L154" s="2">
        <v>0</v>
      </c>
      <c r="M154" s="2">
        <v>4.5</v>
      </c>
      <c r="N154" s="2">
        <v>785028.25</v>
      </c>
      <c r="O154" s="2">
        <v>110726.44</v>
      </c>
      <c r="P154" s="2">
        <v>0</v>
      </c>
      <c r="Q154" s="2">
        <v>0</v>
      </c>
      <c r="R154" s="2" t="s">
        <v>126</v>
      </c>
    </row>
    <row r="155" spans="1:18" ht="15" customHeight="1">
      <c r="A155" s="2">
        <v>154</v>
      </c>
      <c r="B155" s="2" t="s">
        <v>64</v>
      </c>
      <c r="C155" s="2" t="s">
        <v>18</v>
      </c>
      <c r="D155" s="2" t="s">
        <v>16</v>
      </c>
      <c r="E155" s="2" t="s">
        <v>22</v>
      </c>
      <c r="F155" s="2">
        <v>64374.75</v>
      </c>
      <c r="G155" s="2">
        <v>6740</v>
      </c>
      <c r="H155" s="2">
        <v>0.16900000000000001</v>
      </c>
      <c r="I155" s="2">
        <v>18</v>
      </c>
      <c r="J155" s="2">
        <v>87</v>
      </c>
      <c r="K155" s="2">
        <v>2.09</v>
      </c>
      <c r="L155" s="2">
        <v>0</v>
      </c>
      <c r="M155" s="2">
        <v>4.2</v>
      </c>
      <c r="N155" s="2">
        <v>698492.67</v>
      </c>
      <c r="O155" s="2">
        <v>117319.32</v>
      </c>
      <c r="P155" s="2">
        <v>0</v>
      </c>
      <c r="Q155" s="2">
        <v>0</v>
      </c>
      <c r="R155" s="2" t="s">
        <v>126</v>
      </c>
    </row>
    <row r="156" spans="1:18" ht="15" customHeight="1">
      <c r="A156" s="2">
        <v>155</v>
      </c>
      <c r="B156" s="2" t="s">
        <v>64</v>
      </c>
      <c r="C156" s="2" t="s">
        <v>19</v>
      </c>
      <c r="D156" s="2" t="s">
        <v>16</v>
      </c>
      <c r="E156" s="2" t="s">
        <v>22</v>
      </c>
      <c r="F156" s="2">
        <v>61433.84</v>
      </c>
      <c r="G156" s="2">
        <v>7745</v>
      </c>
      <c r="H156" s="2">
        <v>0.18</v>
      </c>
      <c r="I156" s="2">
        <v>16</v>
      </c>
      <c r="J156" s="2">
        <v>90.5</v>
      </c>
      <c r="K156" s="2">
        <v>2.2599999999999998</v>
      </c>
      <c r="L156" s="2">
        <v>0</v>
      </c>
      <c r="M156" s="2">
        <v>4.2</v>
      </c>
      <c r="N156" s="2">
        <v>685830.24</v>
      </c>
      <c r="O156" s="2">
        <v>128736.18</v>
      </c>
      <c r="P156" s="2">
        <v>0</v>
      </c>
      <c r="Q156" s="2">
        <v>0</v>
      </c>
      <c r="R156" s="2" t="s">
        <v>126</v>
      </c>
    </row>
    <row r="157" spans="1:18" ht="15" customHeight="1">
      <c r="A157" s="2">
        <v>156</v>
      </c>
      <c r="B157" s="2" t="s">
        <v>64</v>
      </c>
      <c r="C157" s="2" t="s">
        <v>20</v>
      </c>
      <c r="D157" s="2" t="s">
        <v>16</v>
      </c>
      <c r="E157" s="2" t="s">
        <v>22</v>
      </c>
      <c r="F157" s="2">
        <v>42698.14</v>
      </c>
      <c r="G157" s="2">
        <v>7693</v>
      </c>
      <c r="H157" s="2">
        <v>0.187</v>
      </c>
      <c r="I157" s="2">
        <v>19</v>
      </c>
      <c r="J157" s="2">
        <v>90.1</v>
      </c>
      <c r="K157" s="2">
        <v>0.44</v>
      </c>
      <c r="L157" s="2">
        <v>0</v>
      </c>
      <c r="M157" s="2">
        <v>4.4000000000000004</v>
      </c>
      <c r="N157" s="2">
        <v>702318.94</v>
      </c>
      <c r="O157" s="2">
        <v>112829.29</v>
      </c>
      <c r="P157" s="2">
        <v>0</v>
      </c>
      <c r="Q157" s="2">
        <v>0</v>
      </c>
      <c r="R157" s="2" t="s">
        <v>126</v>
      </c>
    </row>
    <row r="158" spans="1:18" ht="15" customHeight="1">
      <c r="A158" s="2">
        <v>157</v>
      </c>
      <c r="B158" s="2" t="s">
        <v>65</v>
      </c>
      <c r="C158" s="2" t="s">
        <v>15</v>
      </c>
      <c r="D158" s="2" t="s">
        <v>24</v>
      </c>
      <c r="E158" s="2" t="s">
        <v>32</v>
      </c>
      <c r="F158" s="2">
        <v>86883.31</v>
      </c>
      <c r="G158" s="2">
        <v>6424</v>
      </c>
      <c r="H158" s="2">
        <v>5.7000000000000002E-2</v>
      </c>
      <c r="I158" s="2">
        <v>19</v>
      </c>
      <c r="J158" s="2">
        <v>85.2</v>
      </c>
      <c r="K158" s="2">
        <v>3.08</v>
      </c>
      <c r="L158" s="2">
        <v>0</v>
      </c>
      <c r="M158" s="2">
        <v>3.9</v>
      </c>
      <c r="N158" s="2">
        <v>700078.32</v>
      </c>
      <c r="O158" s="2">
        <v>123707.58</v>
      </c>
      <c r="P158" s="2">
        <v>0</v>
      </c>
      <c r="Q158" s="2">
        <v>0</v>
      </c>
      <c r="R158" s="2" t="s">
        <v>126</v>
      </c>
    </row>
    <row r="159" spans="1:18" ht="15" customHeight="1">
      <c r="A159" s="2">
        <v>158</v>
      </c>
      <c r="B159" s="2" t="s">
        <v>65</v>
      </c>
      <c r="C159" s="2" t="s">
        <v>18</v>
      </c>
      <c r="D159" s="2" t="s">
        <v>24</v>
      </c>
      <c r="E159" s="2" t="s">
        <v>32</v>
      </c>
      <c r="F159" s="2">
        <v>41863.08</v>
      </c>
      <c r="G159" s="2">
        <v>5400</v>
      </c>
      <c r="H159" s="2">
        <v>0.114</v>
      </c>
      <c r="I159" s="2">
        <v>11</v>
      </c>
      <c r="J159" s="2">
        <v>91.6</v>
      </c>
      <c r="K159" s="2">
        <v>7.99</v>
      </c>
      <c r="L159" s="2">
        <v>0</v>
      </c>
      <c r="M159" s="2">
        <v>3</v>
      </c>
      <c r="N159" s="2">
        <v>602002.31999999995</v>
      </c>
      <c r="O159" s="2">
        <v>110453.28</v>
      </c>
      <c r="P159" s="2">
        <v>0</v>
      </c>
      <c r="Q159" s="2">
        <v>0</v>
      </c>
      <c r="R159" s="2" t="s">
        <v>126</v>
      </c>
    </row>
    <row r="160" spans="1:18" ht="15" customHeight="1">
      <c r="A160" s="2">
        <v>159</v>
      </c>
      <c r="B160" s="2" t="s">
        <v>65</v>
      </c>
      <c r="C160" s="2" t="s">
        <v>19</v>
      </c>
      <c r="D160" s="2" t="s">
        <v>24</v>
      </c>
      <c r="E160" s="2" t="s">
        <v>32</v>
      </c>
      <c r="F160" s="2">
        <v>56918.16</v>
      </c>
      <c r="G160" s="2">
        <v>7015</v>
      </c>
      <c r="H160" s="2">
        <v>0.158</v>
      </c>
      <c r="I160" s="2">
        <v>18</v>
      </c>
      <c r="J160" s="2">
        <v>74.2</v>
      </c>
      <c r="K160" s="2">
        <v>0.2</v>
      </c>
      <c r="L160" s="2">
        <v>0</v>
      </c>
      <c r="M160" s="2">
        <v>3.4</v>
      </c>
      <c r="N160" s="2">
        <v>724216.07</v>
      </c>
      <c r="O160" s="2">
        <v>100627.56</v>
      </c>
      <c r="P160" s="2">
        <v>0</v>
      </c>
      <c r="Q160" s="2">
        <v>0</v>
      </c>
      <c r="R160" s="2" t="s">
        <v>126</v>
      </c>
    </row>
    <row r="161" spans="1:18" ht="15" customHeight="1">
      <c r="A161" s="2">
        <v>160</v>
      </c>
      <c r="B161" s="2" t="s">
        <v>65</v>
      </c>
      <c r="C161" s="2" t="s">
        <v>20</v>
      </c>
      <c r="D161" s="2" t="s">
        <v>24</v>
      </c>
      <c r="E161" s="2" t="s">
        <v>32</v>
      </c>
      <c r="F161" s="2">
        <v>23254.57</v>
      </c>
      <c r="G161" s="2">
        <v>3847</v>
      </c>
      <c r="H161" s="2">
        <v>0.159</v>
      </c>
      <c r="I161" s="2">
        <v>12</v>
      </c>
      <c r="J161" s="2">
        <v>93</v>
      </c>
      <c r="K161" s="2">
        <v>5.46</v>
      </c>
      <c r="L161" s="2">
        <v>0</v>
      </c>
      <c r="M161" s="2">
        <v>3.3</v>
      </c>
      <c r="N161" s="2">
        <v>620973.03</v>
      </c>
      <c r="O161" s="2">
        <v>72303.850000000006</v>
      </c>
      <c r="P161" s="2">
        <v>0</v>
      </c>
      <c r="Q161" s="2">
        <v>0</v>
      </c>
      <c r="R161" s="2" t="s">
        <v>126</v>
      </c>
    </row>
    <row r="162" spans="1:18" ht="15" customHeight="1">
      <c r="A162" s="2">
        <v>161</v>
      </c>
      <c r="B162" s="2" t="s">
        <v>66</v>
      </c>
      <c r="C162" s="2" t="s">
        <v>15</v>
      </c>
      <c r="D162" s="2" t="s">
        <v>28</v>
      </c>
      <c r="E162" s="2" t="s">
        <v>22</v>
      </c>
      <c r="F162" s="2">
        <v>41443.410000000003</v>
      </c>
      <c r="G162" s="2">
        <v>7455</v>
      </c>
      <c r="H162" s="2">
        <v>0.17499999999999999</v>
      </c>
      <c r="I162" s="2">
        <v>16</v>
      </c>
      <c r="J162" s="2">
        <v>90.1</v>
      </c>
      <c r="K162" s="2">
        <v>4.05</v>
      </c>
      <c r="L162" s="2">
        <v>0</v>
      </c>
      <c r="M162" s="2">
        <v>4</v>
      </c>
      <c r="N162" s="2">
        <v>650480.06000000006</v>
      </c>
      <c r="O162" s="2">
        <v>109012.07</v>
      </c>
      <c r="P162" s="2">
        <v>0</v>
      </c>
      <c r="Q162" s="2">
        <v>0</v>
      </c>
      <c r="R162" s="2" t="s">
        <v>126</v>
      </c>
    </row>
    <row r="163" spans="1:18" ht="15" customHeight="1">
      <c r="A163" s="2">
        <v>162</v>
      </c>
      <c r="B163" s="2" t="s">
        <v>66</v>
      </c>
      <c r="C163" s="2" t="s">
        <v>18</v>
      </c>
      <c r="D163" s="2" t="s">
        <v>28</v>
      </c>
      <c r="E163" s="2" t="s">
        <v>22</v>
      </c>
      <c r="F163" s="2">
        <v>48438.85</v>
      </c>
      <c r="G163" s="2">
        <v>6992</v>
      </c>
      <c r="H163" s="2">
        <v>3.4000000000000002E-2</v>
      </c>
      <c r="I163" s="2">
        <v>20</v>
      </c>
      <c r="J163" s="2">
        <v>91</v>
      </c>
      <c r="K163" s="2">
        <v>4.3600000000000003</v>
      </c>
      <c r="L163" s="2">
        <v>0</v>
      </c>
      <c r="M163" s="2">
        <v>4.2</v>
      </c>
      <c r="N163" s="2">
        <v>778298.88</v>
      </c>
      <c r="O163" s="2">
        <v>130076.72</v>
      </c>
      <c r="P163" s="2">
        <v>0</v>
      </c>
      <c r="Q163" s="2">
        <v>0</v>
      </c>
      <c r="R163" s="2" t="s">
        <v>126</v>
      </c>
    </row>
    <row r="164" spans="1:18" ht="15" customHeight="1">
      <c r="A164" s="2">
        <v>163</v>
      </c>
      <c r="B164" s="2" t="s">
        <v>66</v>
      </c>
      <c r="C164" s="2" t="s">
        <v>19</v>
      </c>
      <c r="D164" s="2" t="s">
        <v>28</v>
      </c>
      <c r="E164" s="2" t="s">
        <v>22</v>
      </c>
      <c r="F164" s="2">
        <v>57143.3</v>
      </c>
      <c r="G164" s="2">
        <v>8038</v>
      </c>
      <c r="H164" s="2">
        <v>0.193</v>
      </c>
      <c r="I164" s="2">
        <v>17</v>
      </c>
      <c r="J164" s="2">
        <v>72.599999999999994</v>
      </c>
      <c r="K164" s="2">
        <v>3.3650000000000002</v>
      </c>
      <c r="L164" s="2">
        <v>0</v>
      </c>
      <c r="M164" s="2">
        <v>4.2</v>
      </c>
      <c r="N164" s="2">
        <v>677096.71</v>
      </c>
      <c r="O164" s="2">
        <v>97174.11</v>
      </c>
      <c r="P164" s="2">
        <v>0</v>
      </c>
      <c r="Q164" s="2">
        <v>1</v>
      </c>
      <c r="R164" s="2" t="s">
        <v>128</v>
      </c>
    </row>
    <row r="165" spans="1:18" ht="15" customHeight="1">
      <c r="A165" s="2">
        <v>164</v>
      </c>
      <c r="B165" s="2" t="s">
        <v>66</v>
      </c>
      <c r="C165" s="2" t="s">
        <v>20</v>
      </c>
      <c r="D165" s="2" t="s">
        <v>28</v>
      </c>
      <c r="E165" s="2" t="s">
        <v>22</v>
      </c>
      <c r="F165" s="2">
        <v>66870.62</v>
      </c>
      <c r="G165" s="2">
        <v>6055</v>
      </c>
      <c r="H165" s="2">
        <v>7.4999999999999997E-2</v>
      </c>
      <c r="I165" s="2">
        <v>19</v>
      </c>
      <c r="J165" s="2">
        <v>93.8</v>
      </c>
      <c r="K165" s="2">
        <v>0.54</v>
      </c>
      <c r="L165" s="2">
        <v>0</v>
      </c>
      <c r="M165" s="2">
        <v>4.3</v>
      </c>
      <c r="N165" s="2">
        <v>692008.64</v>
      </c>
      <c r="O165" s="2">
        <v>116337.87</v>
      </c>
      <c r="P165" s="2">
        <v>0</v>
      </c>
      <c r="Q165" s="2">
        <v>0</v>
      </c>
      <c r="R165" s="2" t="s">
        <v>126</v>
      </c>
    </row>
    <row r="166" spans="1:18" ht="15" customHeight="1">
      <c r="A166" s="2">
        <v>165</v>
      </c>
      <c r="B166" s="2" t="s">
        <v>67</v>
      </c>
      <c r="C166" s="2" t="s">
        <v>15</v>
      </c>
      <c r="D166" s="2" t="s">
        <v>24</v>
      </c>
      <c r="E166" s="2" t="s">
        <v>32</v>
      </c>
      <c r="F166" s="2">
        <v>72150.53</v>
      </c>
      <c r="G166" s="2">
        <v>9323</v>
      </c>
      <c r="H166" s="2">
        <v>0.157</v>
      </c>
      <c r="I166" s="2">
        <v>22</v>
      </c>
      <c r="J166" s="2">
        <v>82.9</v>
      </c>
      <c r="K166" s="2">
        <v>11.37</v>
      </c>
      <c r="L166" s="2">
        <v>1</v>
      </c>
      <c r="M166" s="2">
        <v>4.3</v>
      </c>
      <c r="N166" s="2">
        <v>825797.91</v>
      </c>
      <c r="O166" s="2">
        <v>130945.24</v>
      </c>
      <c r="P166" s="2">
        <v>0</v>
      </c>
      <c r="Q166" s="2">
        <v>0</v>
      </c>
      <c r="R166" s="2" t="s">
        <v>126</v>
      </c>
    </row>
    <row r="167" spans="1:18" ht="15" customHeight="1">
      <c r="A167" s="2">
        <v>166</v>
      </c>
      <c r="B167" s="2" t="s">
        <v>67</v>
      </c>
      <c r="C167" s="2" t="s">
        <v>18</v>
      </c>
      <c r="D167" s="2" t="s">
        <v>24</v>
      </c>
      <c r="E167" s="2" t="s">
        <v>32</v>
      </c>
      <c r="F167" s="2">
        <v>35303.300000000003</v>
      </c>
      <c r="G167" s="2">
        <v>8789</v>
      </c>
      <c r="H167" s="2">
        <v>0.123</v>
      </c>
      <c r="I167" s="2">
        <v>22</v>
      </c>
      <c r="J167" s="2">
        <v>86.1</v>
      </c>
      <c r="K167" s="2">
        <v>9.43</v>
      </c>
      <c r="L167" s="2">
        <v>0</v>
      </c>
      <c r="M167" s="2">
        <v>4.2</v>
      </c>
      <c r="N167" s="2">
        <v>706285.52</v>
      </c>
      <c r="O167" s="2">
        <v>138014.72</v>
      </c>
      <c r="P167" s="2">
        <v>0</v>
      </c>
      <c r="Q167" s="2">
        <v>0</v>
      </c>
      <c r="R167" s="2" t="s">
        <v>126</v>
      </c>
    </row>
    <row r="168" spans="1:18" ht="15" customHeight="1">
      <c r="A168" s="2">
        <v>167</v>
      </c>
      <c r="B168" s="2" t="s">
        <v>67</v>
      </c>
      <c r="C168" s="2" t="s">
        <v>19</v>
      </c>
      <c r="D168" s="2" t="s">
        <v>24</v>
      </c>
      <c r="E168" s="2" t="s">
        <v>32</v>
      </c>
      <c r="F168" s="2">
        <v>30301.86</v>
      </c>
      <c r="G168" s="2">
        <v>6939</v>
      </c>
      <c r="H168" s="2">
        <v>0.09</v>
      </c>
      <c r="I168" s="2">
        <v>16</v>
      </c>
      <c r="J168" s="2">
        <v>90.3</v>
      </c>
      <c r="K168" s="2">
        <v>3.49</v>
      </c>
      <c r="L168" s="2">
        <v>0</v>
      </c>
      <c r="M168" s="2">
        <v>4</v>
      </c>
      <c r="N168" s="2">
        <v>665534.69999999995</v>
      </c>
      <c r="O168" s="2">
        <v>113167.73</v>
      </c>
      <c r="P168" s="2">
        <v>0</v>
      </c>
      <c r="Q168" s="2">
        <v>0</v>
      </c>
      <c r="R168" s="2" t="s">
        <v>126</v>
      </c>
    </row>
    <row r="169" spans="1:18" ht="15" customHeight="1">
      <c r="A169" s="2">
        <v>168</v>
      </c>
      <c r="B169" s="2" t="s">
        <v>67</v>
      </c>
      <c r="C169" s="2" t="s">
        <v>20</v>
      </c>
      <c r="D169" s="2" t="s">
        <v>24</v>
      </c>
      <c r="E169" s="2" t="s">
        <v>32</v>
      </c>
      <c r="F169" s="2">
        <v>78432.14</v>
      </c>
      <c r="G169" s="2">
        <v>9440</v>
      </c>
      <c r="H169" s="2">
        <v>0.126</v>
      </c>
      <c r="I169" s="2">
        <v>23</v>
      </c>
      <c r="J169" s="2">
        <v>89.2</v>
      </c>
      <c r="K169" s="2">
        <v>7.86</v>
      </c>
      <c r="L169" s="2">
        <v>0</v>
      </c>
      <c r="M169" s="2">
        <v>4.0999999999999996</v>
      </c>
      <c r="N169" s="2">
        <v>820729.29</v>
      </c>
      <c r="O169" s="2">
        <v>159325.47</v>
      </c>
      <c r="P169" s="2">
        <v>0</v>
      </c>
      <c r="Q169" s="2">
        <v>0</v>
      </c>
      <c r="R169" s="2" t="s">
        <v>126</v>
      </c>
    </row>
    <row r="170" spans="1:18" ht="15" customHeight="1">
      <c r="A170" s="2">
        <v>169</v>
      </c>
      <c r="B170" s="2" t="s">
        <v>68</v>
      </c>
      <c r="C170" s="2" t="s">
        <v>15</v>
      </c>
      <c r="D170" s="2" t="s">
        <v>16</v>
      </c>
      <c r="E170" s="2" t="s">
        <v>17</v>
      </c>
      <c r="F170" s="2">
        <v>62059.18</v>
      </c>
      <c r="G170" s="2">
        <v>9374</v>
      </c>
      <c r="H170" s="2">
        <v>0.13600000000000001</v>
      </c>
      <c r="I170" s="2">
        <v>25</v>
      </c>
      <c r="J170" s="2">
        <v>87.1</v>
      </c>
      <c r="K170" s="2">
        <v>12.55</v>
      </c>
      <c r="L170" s="2">
        <v>0</v>
      </c>
      <c r="M170" s="2">
        <v>4.9000000000000004</v>
      </c>
      <c r="N170" s="2">
        <v>739831.73</v>
      </c>
      <c r="O170" s="2">
        <v>119490.21</v>
      </c>
      <c r="P170" s="2">
        <v>0</v>
      </c>
      <c r="Q170" s="2">
        <v>0</v>
      </c>
      <c r="R170" s="2" t="s">
        <v>126</v>
      </c>
    </row>
    <row r="171" spans="1:18" ht="15" customHeight="1">
      <c r="A171" s="2">
        <v>170</v>
      </c>
      <c r="B171" s="2" t="s">
        <v>68</v>
      </c>
      <c r="C171" s="2" t="s">
        <v>18</v>
      </c>
      <c r="D171" s="2" t="s">
        <v>16</v>
      </c>
      <c r="E171" s="2" t="s">
        <v>17</v>
      </c>
      <c r="F171" s="2">
        <v>32834.480000000003</v>
      </c>
      <c r="G171" s="2">
        <v>7576</v>
      </c>
      <c r="H171" s="2">
        <v>9.9000000000000005E-2</v>
      </c>
      <c r="I171" s="2">
        <v>15</v>
      </c>
      <c r="J171" s="2">
        <v>84.1</v>
      </c>
      <c r="K171" s="2">
        <v>3.48</v>
      </c>
      <c r="L171" s="2">
        <v>0</v>
      </c>
      <c r="M171" s="2">
        <v>5</v>
      </c>
      <c r="N171" s="2">
        <v>593637.14</v>
      </c>
      <c r="O171" s="2">
        <v>106648.14</v>
      </c>
      <c r="P171" s="2">
        <v>0</v>
      </c>
      <c r="Q171" s="2">
        <v>0</v>
      </c>
      <c r="R171" s="2" t="s">
        <v>126</v>
      </c>
    </row>
    <row r="172" spans="1:18" ht="15" customHeight="1">
      <c r="A172" s="2">
        <v>171</v>
      </c>
      <c r="B172" s="2" t="s">
        <v>68</v>
      </c>
      <c r="C172" s="2" t="s">
        <v>19</v>
      </c>
      <c r="D172" s="2" t="s">
        <v>16</v>
      </c>
      <c r="E172" s="2" t="s">
        <v>17</v>
      </c>
      <c r="F172" s="2">
        <v>50825.08</v>
      </c>
      <c r="G172" s="2">
        <v>8949</v>
      </c>
      <c r="H172" s="2">
        <v>0.157</v>
      </c>
      <c r="I172" s="2">
        <v>21</v>
      </c>
      <c r="J172" s="2">
        <v>84.7</v>
      </c>
      <c r="K172" s="2">
        <v>7.73</v>
      </c>
      <c r="L172" s="2">
        <v>0</v>
      </c>
      <c r="M172" s="2">
        <v>4.9000000000000004</v>
      </c>
      <c r="N172" s="2">
        <v>769702.76</v>
      </c>
      <c r="O172" s="2">
        <v>158697</v>
      </c>
      <c r="P172" s="2">
        <v>0</v>
      </c>
      <c r="Q172" s="2">
        <v>0</v>
      </c>
      <c r="R172" s="2" t="s">
        <v>126</v>
      </c>
    </row>
    <row r="173" spans="1:18" ht="15" customHeight="1">
      <c r="A173" s="2">
        <v>172</v>
      </c>
      <c r="B173" s="2" t="s">
        <v>68</v>
      </c>
      <c r="C173" s="2" t="s">
        <v>20</v>
      </c>
      <c r="D173" s="2" t="s">
        <v>16</v>
      </c>
      <c r="E173" s="2" t="s">
        <v>17</v>
      </c>
      <c r="F173" s="2">
        <v>36606.51</v>
      </c>
      <c r="G173" s="2">
        <v>7671</v>
      </c>
      <c r="H173" s="2">
        <v>0.11799999999999999</v>
      </c>
      <c r="I173" s="2">
        <v>18</v>
      </c>
      <c r="J173" s="2">
        <v>89.8</v>
      </c>
      <c r="K173" s="2">
        <v>0.25</v>
      </c>
      <c r="L173" s="2">
        <v>0</v>
      </c>
      <c r="M173" s="2">
        <v>4.4000000000000004</v>
      </c>
      <c r="N173" s="2">
        <v>679731.57</v>
      </c>
      <c r="O173" s="2">
        <v>121546.42</v>
      </c>
      <c r="P173" s="2">
        <v>0</v>
      </c>
      <c r="Q173" s="2">
        <v>0</v>
      </c>
      <c r="R173" s="2" t="s">
        <v>126</v>
      </c>
    </row>
    <row r="174" spans="1:18" ht="15" customHeight="1">
      <c r="A174" s="2">
        <v>173</v>
      </c>
      <c r="B174" s="2" t="s">
        <v>69</v>
      </c>
      <c r="C174" s="2" t="s">
        <v>15</v>
      </c>
      <c r="D174" s="2" t="s">
        <v>16</v>
      </c>
      <c r="E174" s="2" t="s">
        <v>17</v>
      </c>
      <c r="F174" s="2">
        <v>65237.79</v>
      </c>
      <c r="G174" s="2">
        <v>8741</v>
      </c>
      <c r="H174" s="2">
        <v>0.157</v>
      </c>
      <c r="I174" s="2">
        <v>20</v>
      </c>
      <c r="J174" s="2">
        <v>94.4</v>
      </c>
      <c r="K174" s="2">
        <v>6.43</v>
      </c>
      <c r="L174" s="2">
        <v>0</v>
      </c>
      <c r="M174" s="2">
        <v>3.3</v>
      </c>
      <c r="N174" s="2">
        <v>780344.18</v>
      </c>
      <c r="O174" s="2">
        <v>118239.09</v>
      </c>
      <c r="P174" s="2">
        <v>0</v>
      </c>
      <c r="Q174" s="2">
        <v>0</v>
      </c>
      <c r="R174" s="2" t="s">
        <v>126</v>
      </c>
    </row>
    <row r="175" spans="1:18" ht="15" customHeight="1">
      <c r="A175" s="2">
        <v>174</v>
      </c>
      <c r="B175" s="2" t="s">
        <v>69</v>
      </c>
      <c r="C175" s="2" t="s">
        <v>18</v>
      </c>
      <c r="D175" s="2" t="s">
        <v>16</v>
      </c>
      <c r="E175" s="2" t="s">
        <v>17</v>
      </c>
      <c r="F175" s="2">
        <v>43645.98</v>
      </c>
      <c r="G175" s="2">
        <v>9480</v>
      </c>
      <c r="H175" s="2">
        <v>0.109</v>
      </c>
      <c r="I175" s="2">
        <v>22</v>
      </c>
      <c r="J175" s="2">
        <v>89</v>
      </c>
      <c r="K175" s="2">
        <v>2.11</v>
      </c>
      <c r="L175" s="2">
        <v>0</v>
      </c>
      <c r="M175" s="2">
        <v>3.1</v>
      </c>
      <c r="N175" s="2">
        <v>721364.11</v>
      </c>
      <c r="O175" s="2">
        <v>147272.81</v>
      </c>
      <c r="P175" s="2">
        <v>0</v>
      </c>
      <c r="Q175" s="2">
        <v>0</v>
      </c>
      <c r="R175" s="2" t="s">
        <v>126</v>
      </c>
    </row>
    <row r="176" spans="1:18" ht="15" customHeight="1">
      <c r="A176" s="2">
        <v>175</v>
      </c>
      <c r="B176" s="2" t="s">
        <v>69</v>
      </c>
      <c r="C176" s="2" t="s">
        <v>19</v>
      </c>
      <c r="D176" s="2" t="s">
        <v>16</v>
      </c>
      <c r="E176" s="2" t="s">
        <v>17</v>
      </c>
      <c r="F176" s="2">
        <v>68040.149999999994</v>
      </c>
      <c r="G176" s="2">
        <v>9826</v>
      </c>
      <c r="H176" s="2">
        <v>0.125</v>
      </c>
      <c r="I176" s="2">
        <v>20</v>
      </c>
      <c r="J176" s="2">
        <v>83.9</v>
      </c>
      <c r="K176" s="2">
        <v>9.1199999999999992</v>
      </c>
      <c r="L176" s="2">
        <v>0</v>
      </c>
      <c r="M176" s="2">
        <v>3.6</v>
      </c>
      <c r="N176" s="2">
        <v>758138.29</v>
      </c>
      <c r="O176" s="2">
        <v>132975.26</v>
      </c>
      <c r="P176" s="2">
        <v>0</v>
      </c>
      <c r="Q176" s="2">
        <v>0</v>
      </c>
      <c r="R176" s="2" t="s">
        <v>126</v>
      </c>
    </row>
    <row r="177" spans="1:18" ht="15" customHeight="1">
      <c r="A177" s="2">
        <v>176</v>
      </c>
      <c r="B177" s="2" t="s">
        <v>69</v>
      </c>
      <c r="C177" s="2" t="s">
        <v>20</v>
      </c>
      <c r="D177" s="2" t="s">
        <v>16</v>
      </c>
      <c r="E177" s="2" t="s">
        <v>17</v>
      </c>
      <c r="F177" s="2">
        <v>63043.94</v>
      </c>
      <c r="G177" s="2">
        <v>10402</v>
      </c>
      <c r="H177" s="2">
        <v>0.159</v>
      </c>
      <c r="I177" s="2">
        <v>23</v>
      </c>
      <c r="J177" s="2">
        <v>93.9</v>
      </c>
      <c r="K177" s="2">
        <v>2.71</v>
      </c>
      <c r="L177" s="2">
        <v>0</v>
      </c>
      <c r="M177" s="2">
        <v>3.1</v>
      </c>
      <c r="N177" s="2">
        <v>804264</v>
      </c>
      <c r="O177" s="2">
        <v>167117.91</v>
      </c>
      <c r="P177" s="2">
        <v>0</v>
      </c>
      <c r="Q177" s="2">
        <v>0</v>
      </c>
      <c r="R177" s="2" t="s">
        <v>126</v>
      </c>
    </row>
    <row r="178" spans="1:18" ht="15" customHeight="1">
      <c r="A178" s="2">
        <v>177</v>
      </c>
      <c r="B178" s="2" t="s">
        <v>70</v>
      </c>
      <c r="C178" s="2" t="s">
        <v>15</v>
      </c>
      <c r="D178" s="2" t="s">
        <v>31</v>
      </c>
      <c r="E178" s="2" t="s">
        <v>25</v>
      </c>
      <c r="F178" s="2">
        <v>67494.09</v>
      </c>
      <c r="G178" s="2">
        <v>12361</v>
      </c>
      <c r="H178" s="2">
        <v>4.5999999999999999E-2</v>
      </c>
      <c r="I178" s="2">
        <v>24</v>
      </c>
      <c r="J178" s="2">
        <v>76.599999999999994</v>
      </c>
      <c r="K178" s="2">
        <v>3.65</v>
      </c>
      <c r="L178" s="2">
        <v>1</v>
      </c>
      <c r="M178" s="2">
        <v>3.7</v>
      </c>
      <c r="N178" s="2">
        <v>887537.75</v>
      </c>
      <c r="O178" s="2">
        <v>160362.92000000001</v>
      </c>
      <c r="P178" s="2">
        <v>0</v>
      </c>
      <c r="Q178" s="2">
        <v>0</v>
      </c>
      <c r="R178" s="2" t="s">
        <v>126</v>
      </c>
    </row>
    <row r="179" spans="1:18" ht="15" customHeight="1">
      <c r="A179" s="2">
        <v>178</v>
      </c>
      <c r="B179" s="2" t="s">
        <v>70</v>
      </c>
      <c r="C179" s="2" t="s">
        <v>18</v>
      </c>
      <c r="D179" s="2" t="s">
        <v>31</v>
      </c>
      <c r="E179" s="2" t="s">
        <v>25</v>
      </c>
      <c r="F179" s="2">
        <v>29389.32</v>
      </c>
      <c r="G179" s="2">
        <v>7925</v>
      </c>
      <c r="H179" s="2">
        <v>0.17699999999999999</v>
      </c>
      <c r="I179" s="2">
        <v>21</v>
      </c>
      <c r="J179" s="2">
        <v>90.9</v>
      </c>
      <c r="K179" s="2">
        <v>7.86</v>
      </c>
      <c r="L179" s="2">
        <v>0</v>
      </c>
      <c r="M179" s="2">
        <v>4</v>
      </c>
      <c r="N179" s="2">
        <v>783582</v>
      </c>
      <c r="O179" s="2">
        <v>130670.93</v>
      </c>
      <c r="P179" s="2">
        <v>0</v>
      </c>
      <c r="Q179" s="2">
        <v>0</v>
      </c>
      <c r="R179" s="2" t="s">
        <v>126</v>
      </c>
    </row>
    <row r="180" spans="1:18" ht="15" customHeight="1">
      <c r="A180" s="2">
        <v>179</v>
      </c>
      <c r="B180" s="2" t="s">
        <v>70</v>
      </c>
      <c r="C180" s="2" t="s">
        <v>19</v>
      </c>
      <c r="D180" s="2" t="s">
        <v>31</v>
      </c>
      <c r="E180" s="2" t="s">
        <v>25</v>
      </c>
      <c r="F180" s="2">
        <v>40535.089999999997</v>
      </c>
      <c r="G180" s="2">
        <v>8870</v>
      </c>
      <c r="H180" s="2">
        <v>4.1000000000000002E-2</v>
      </c>
      <c r="I180" s="2">
        <v>21</v>
      </c>
      <c r="J180" s="2">
        <v>86.6</v>
      </c>
      <c r="K180" s="2">
        <v>0.3</v>
      </c>
      <c r="L180" s="2">
        <v>0</v>
      </c>
      <c r="M180" s="2">
        <v>4.0999999999999996</v>
      </c>
      <c r="N180" s="2">
        <v>781955.52</v>
      </c>
      <c r="O180" s="2">
        <v>152578.71</v>
      </c>
      <c r="P180" s="2">
        <v>0</v>
      </c>
      <c r="Q180" s="2">
        <v>0</v>
      </c>
      <c r="R180" s="2" t="s">
        <v>126</v>
      </c>
    </row>
    <row r="181" spans="1:18" ht="15" customHeight="1">
      <c r="A181" s="2">
        <v>180</v>
      </c>
      <c r="B181" s="2" t="s">
        <v>70</v>
      </c>
      <c r="C181" s="2" t="s">
        <v>20</v>
      </c>
      <c r="D181" s="2" t="s">
        <v>31</v>
      </c>
      <c r="E181" s="2" t="s">
        <v>25</v>
      </c>
      <c r="F181" s="2">
        <v>74881.56</v>
      </c>
      <c r="G181" s="2">
        <v>9999</v>
      </c>
      <c r="H181" s="2">
        <v>1.2999999999999999E-2</v>
      </c>
      <c r="I181" s="2">
        <v>20</v>
      </c>
      <c r="J181" s="2">
        <v>89.6</v>
      </c>
      <c r="K181" s="2">
        <v>8.44</v>
      </c>
      <c r="L181" s="2">
        <v>0</v>
      </c>
      <c r="M181" s="2">
        <v>4.0999999999999996</v>
      </c>
      <c r="N181" s="2">
        <v>898031.04</v>
      </c>
      <c r="O181" s="2">
        <v>138666.5</v>
      </c>
      <c r="P181" s="2">
        <v>0</v>
      </c>
      <c r="Q181" s="2">
        <v>0</v>
      </c>
      <c r="R181" s="2" t="s">
        <v>126</v>
      </c>
    </row>
    <row r="182" spans="1:18" ht="15" customHeight="1">
      <c r="A182" s="2">
        <v>181</v>
      </c>
      <c r="B182" s="2" t="s">
        <v>71</v>
      </c>
      <c r="C182" s="2" t="s">
        <v>15</v>
      </c>
      <c r="D182" s="2" t="s">
        <v>31</v>
      </c>
      <c r="E182" s="2" t="s">
        <v>17</v>
      </c>
      <c r="F182" s="2">
        <v>68491.11</v>
      </c>
      <c r="G182" s="2">
        <v>11154</v>
      </c>
      <c r="H182" s="2">
        <v>1E-3</v>
      </c>
      <c r="I182" s="2">
        <v>24</v>
      </c>
      <c r="J182" s="2">
        <v>89.4</v>
      </c>
      <c r="K182" s="2">
        <v>5.27</v>
      </c>
      <c r="L182" s="2">
        <v>1</v>
      </c>
      <c r="M182" s="2">
        <v>3.9</v>
      </c>
      <c r="N182" s="2">
        <v>855341.28</v>
      </c>
      <c r="O182" s="2">
        <v>175823.8</v>
      </c>
      <c r="P182" s="2">
        <v>0</v>
      </c>
      <c r="Q182" s="2">
        <v>0</v>
      </c>
      <c r="R182" s="2" t="s">
        <v>126</v>
      </c>
    </row>
    <row r="183" spans="1:18" ht="15" customHeight="1">
      <c r="A183" s="2">
        <v>182</v>
      </c>
      <c r="B183" s="2" t="s">
        <v>71</v>
      </c>
      <c r="C183" s="2" t="s">
        <v>18</v>
      </c>
      <c r="D183" s="2" t="s">
        <v>31</v>
      </c>
      <c r="E183" s="2" t="s">
        <v>17</v>
      </c>
      <c r="F183" s="2">
        <v>45209.25</v>
      </c>
      <c r="G183" s="2">
        <v>9287</v>
      </c>
      <c r="H183" s="2">
        <v>0.14099999999999999</v>
      </c>
      <c r="I183" s="2">
        <v>22</v>
      </c>
      <c r="J183" s="2">
        <v>86.4</v>
      </c>
      <c r="K183" s="2">
        <v>13.22</v>
      </c>
      <c r="L183" s="2">
        <v>0</v>
      </c>
      <c r="M183" s="2">
        <v>3.6</v>
      </c>
      <c r="N183" s="2">
        <v>751393.88</v>
      </c>
      <c r="O183" s="2">
        <v>91480.320000000007</v>
      </c>
      <c r="P183" s="2">
        <v>0</v>
      </c>
      <c r="Q183" s="2">
        <v>0</v>
      </c>
      <c r="R183" s="2" t="s">
        <v>126</v>
      </c>
    </row>
    <row r="184" spans="1:18" ht="15" customHeight="1">
      <c r="A184" s="2">
        <v>183</v>
      </c>
      <c r="B184" s="2" t="s">
        <v>71</v>
      </c>
      <c r="C184" s="2" t="s">
        <v>19</v>
      </c>
      <c r="D184" s="2" t="s">
        <v>31</v>
      </c>
      <c r="E184" s="2" t="s">
        <v>17</v>
      </c>
      <c r="F184" s="2">
        <v>63010.23</v>
      </c>
      <c r="G184" s="2">
        <v>9812</v>
      </c>
      <c r="H184" s="2">
        <v>0.113</v>
      </c>
      <c r="I184" s="2">
        <v>24</v>
      </c>
      <c r="J184" s="2">
        <v>76.8</v>
      </c>
      <c r="K184" s="2">
        <v>1.02</v>
      </c>
      <c r="L184" s="2">
        <v>1</v>
      </c>
      <c r="M184" s="2">
        <v>3.8</v>
      </c>
      <c r="N184" s="2">
        <v>761077.08</v>
      </c>
      <c r="O184" s="2">
        <v>113605.93</v>
      </c>
      <c r="P184" s="2">
        <v>0</v>
      </c>
      <c r="Q184" s="2">
        <v>0</v>
      </c>
      <c r="R184" s="2" t="s">
        <v>126</v>
      </c>
    </row>
    <row r="185" spans="1:18" ht="15" customHeight="1">
      <c r="A185" s="2">
        <v>184</v>
      </c>
      <c r="B185" s="2" t="s">
        <v>71</v>
      </c>
      <c r="C185" s="2" t="s">
        <v>20</v>
      </c>
      <c r="D185" s="2" t="s">
        <v>31</v>
      </c>
      <c r="E185" s="2" t="s">
        <v>17</v>
      </c>
      <c r="F185" s="2">
        <v>57948.88</v>
      </c>
      <c r="G185" s="2">
        <v>10741</v>
      </c>
      <c r="H185" s="2">
        <v>7.0000000000000007E-2</v>
      </c>
      <c r="I185" s="2">
        <v>25</v>
      </c>
      <c r="J185" s="2">
        <v>90.1</v>
      </c>
      <c r="K185" s="2">
        <v>4.03</v>
      </c>
      <c r="L185" s="2">
        <v>0</v>
      </c>
      <c r="M185" s="2">
        <v>3.1</v>
      </c>
      <c r="N185" s="2">
        <v>819660.59</v>
      </c>
      <c r="O185" s="2">
        <v>172699.95</v>
      </c>
      <c r="P185" s="2">
        <v>0</v>
      </c>
      <c r="Q185" s="2">
        <v>0</v>
      </c>
      <c r="R185" s="2" t="s">
        <v>126</v>
      </c>
    </row>
    <row r="186" spans="1:18" ht="15" customHeight="1">
      <c r="A186" s="2">
        <v>185</v>
      </c>
      <c r="B186" s="2" t="s">
        <v>72</v>
      </c>
      <c r="C186" s="2" t="s">
        <v>15</v>
      </c>
      <c r="D186" s="2" t="s">
        <v>24</v>
      </c>
      <c r="E186" s="2" t="s">
        <v>22</v>
      </c>
      <c r="F186" s="2">
        <v>71941.62</v>
      </c>
      <c r="G186" s="2">
        <v>6084</v>
      </c>
      <c r="H186" s="2">
        <v>7.1999999999999995E-2</v>
      </c>
      <c r="I186" s="2">
        <v>13</v>
      </c>
      <c r="J186" s="2">
        <v>93.7</v>
      </c>
      <c r="K186" s="2">
        <v>2.34</v>
      </c>
      <c r="L186" s="2">
        <v>0</v>
      </c>
      <c r="M186" s="2">
        <v>4.4000000000000004</v>
      </c>
      <c r="N186" s="2">
        <v>681855.56</v>
      </c>
      <c r="O186" s="2">
        <v>117645.61</v>
      </c>
      <c r="P186" s="2">
        <v>0</v>
      </c>
      <c r="Q186" s="2">
        <v>0</v>
      </c>
      <c r="R186" s="2" t="s">
        <v>126</v>
      </c>
    </row>
    <row r="187" spans="1:18" ht="15" customHeight="1">
      <c r="A187" s="2">
        <v>186</v>
      </c>
      <c r="B187" s="2" t="s">
        <v>72</v>
      </c>
      <c r="C187" s="2" t="s">
        <v>18</v>
      </c>
      <c r="D187" s="2" t="s">
        <v>24</v>
      </c>
      <c r="E187" s="2" t="s">
        <v>22</v>
      </c>
      <c r="F187" s="2">
        <v>57147.88</v>
      </c>
      <c r="G187" s="2">
        <v>5252</v>
      </c>
      <c r="H187" s="2">
        <v>0.161</v>
      </c>
      <c r="I187" s="2">
        <v>15</v>
      </c>
      <c r="J187" s="2">
        <v>95.5</v>
      </c>
      <c r="K187" s="2">
        <v>8.51</v>
      </c>
      <c r="L187" s="2">
        <v>0</v>
      </c>
      <c r="M187" s="2">
        <v>4.4000000000000004</v>
      </c>
      <c r="N187" s="2">
        <v>678311.17</v>
      </c>
      <c r="O187" s="2">
        <v>132029.76000000001</v>
      </c>
      <c r="P187" s="2">
        <v>0</v>
      </c>
      <c r="Q187" s="2">
        <v>0</v>
      </c>
      <c r="R187" s="2" t="s">
        <v>126</v>
      </c>
    </row>
    <row r="188" spans="1:18" ht="15" customHeight="1">
      <c r="A188" s="2">
        <v>187</v>
      </c>
      <c r="B188" s="2" t="s">
        <v>72</v>
      </c>
      <c r="C188" s="2" t="s">
        <v>19</v>
      </c>
      <c r="D188" s="2" t="s">
        <v>24</v>
      </c>
      <c r="E188" s="2" t="s">
        <v>22</v>
      </c>
      <c r="F188" s="2">
        <v>48031.74</v>
      </c>
      <c r="G188" s="2">
        <v>6516</v>
      </c>
      <c r="H188" s="2">
        <v>6.7000000000000004E-2</v>
      </c>
      <c r="I188" s="2">
        <v>14</v>
      </c>
      <c r="J188" s="2">
        <v>99</v>
      </c>
      <c r="K188" s="2">
        <v>0.48</v>
      </c>
      <c r="L188" s="2">
        <v>1</v>
      </c>
      <c r="M188" s="2">
        <v>4.3</v>
      </c>
      <c r="N188" s="2">
        <v>765906.95</v>
      </c>
      <c r="O188" s="2">
        <v>114005.9</v>
      </c>
      <c r="P188" s="2">
        <v>0</v>
      </c>
      <c r="Q188" s="2">
        <v>0</v>
      </c>
      <c r="R188" s="2" t="s">
        <v>126</v>
      </c>
    </row>
    <row r="189" spans="1:18" ht="15" customHeight="1">
      <c r="A189" s="2">
        <v>188</v>
      </c>
      <c r="B189" s="2" t="s">
        <v>72</v>
      </c>
      <c r="C189" s="2" t="s">
        <v>20</v>
      </c>
      <c r="D189" s="2" t="s">
        <v>24</v>
      </c>
      <c r="E189" s="2" t="s">
        <v>22</v>
      </c>
      <c r="F189" s="2">
        <v>72784.800000000003</v>
      </c>
      <c r="G189" s="2">
        <v>7932</v>
      </c>
      <c r="H189" s="2">
        <v>9.4E-2</v>
      </c>
      <c r="I189" s="2">
        <v>20</v>
      </c>
      <c r="J189" s="2">
        <v>74.900000000000006</v>
      </c>
      <c r="K189" s="2">
        <v>13.62</v>
      </c>
      <c r="L189" s="2">
        <v>0</v>
      </c>
      <c r="M189" s="2">
        <v>4.2</v>
      </c>
      <c r="N189" s="2">
        <v>712546.38</v>
      </c>
      <c r="O189" s="2">
        <v>101480.04</v>
      </c>
      <c r="P189" s="2">
        <v>0</v>
      </c>
      <c r="Q189" s="2">
        <v>0</v>
      </c>
      <c r="R189" s="2" t="s">
        <v>126</v>
      </c>
    </row>
    <row r="190" spans="1:18" ht="15" customHeight="1">
      <c r="A190" s="2">
        <v>189</v>
      </c>
      <c r="B190" s="2" t="s">
        <v>73</v>
      </c>
      <c r="C190" s="2" t="s">
        <v>15</v>
      </c>
      <c r="D190" s="2" t="s">
        <v>16</v>
      </c>
      <c r="E190" s="2" t="s">
        <v>22</v>
      </c>
      <c r="F190" s="2">
        <v>71641.899999999994</v>
      </c>
      <c r="G190" s="2">
        <v>3506</v>
      </c>
      <c r="H190" s="2">
        <v>0</v>
      </c>
      <c r="I190" s="2">
        <v>11</v>
      </c>
      <c r="J190" s="2">
        <v>86.4</v>
      </c>
      <c r="K190" s="2">
        <v>7.77</v>
      </c>
      <c r="L190" s="2">
        <v>0</v>
      </c>
      <c r="M190" s="2">
        <v>4.0999999999999996</v>
      </c>
      <c r="N190" s="2">
        <v>625993.82999999996</v>
      </c>
      <c r="O190" s="2">
        <v>98960.320000000007</v>
      </c>
      <c r="P190" s="2">
        <v>0</v>
      </c>
      <c r="Q190" s="2">
        <v>0</v>
      </c>
      <c r="R190" s="2" t="s">
        <v>126</v>
      </c>
    </row>
    <row r="191" spans="1:18" ht="15" customHeight="1">
      <c r="A191" s="2">
        <v>190</v>
      </c>
      <c r="B191" s="2" t="s">
        <v>73</v>
      </c>
      <c r="C191" s="2" t="s">
        <v>18</v>
      </c>
      <c r="D191" s="2" t="s">
        <v>16</v>
      </c>
      <c r="E191" s="2" t="s">
        <v>22</v>
      </c>
      <c r="F191" s="2">
        <v>55788.61</v>
      </c>
      <c r="G191" s="2">
        <v>2312</v>
      </c>
      <c r="H191" s="2">
        <v>5.8000000000000003E-2</v>
      </c>
      <c r="I191" s="2">
        <v>10</v>
      </c>
      <c r="J191" s="2">
        <v>91.3</v>
      </c>
      <c r="K191" s="2">
        <v>1.99</v>
      </c>
      <c r="L191" s="2">
        <v>0</v>
      </c>
      <c r="M191" s="2">
        <v>3.8</v>
      </c>
      <c r="N191" s="2">
        <v>550962.93000000005</v>
      </c>
      <c r="O191" s="2">
        <v>97144.58</v>
      </c>
      <c r="P191" s="2">
        <v>0</v>
      </c>
      <c r="Q191" s="2">
        <v>0</v>
      </c>
      <c r="R191" s="2" t="s">
        <v>126</v>
      </c>
    </row>
    <row r="192" spans="1:18" ht="15" customHeight="1">
      <c r="A192" s="2">
        <v>191</v>
      </c>
      <c r="B192" s="2" t="s">
        <v>73</v>
      </c>
      <c r="C192" s="2" t="s">
        <v>19</v>
      </c>
      <c r="D192" s="2" t="s">
        <v>16</v>
      </c>
      <c r="E192" s="2" t="s">
        <v>22</v>
      </c>
      <c r="F192" s="2">
        <v>37705.879999999997</v>
      </c>
      <c r="G192" s="2">
        <v>1268</v>
      </c>
      <c r="H192" s="2">
        <v>0.25900000000000001</v>
      </c>
      <c r="I192" s="2">
        <v>9</v>
      </c>
      <c r="J192" s="2">
        <v>84.1</v>
      </c>
      <c r="K192" s="2">
        <v>4.7699999999999996</v>
      </c>
      <c r="L192" s="2">
        <v>0</v>
      </c>
      <c r="M192" s="2">
        <v>3.8</v>
      </c>
      <c r="N192" s="2">
        <v>443275.59</v>
      </c>
      <c r="O192" s="2">
        <v>53544.36</v>
      </c>
      <c r="P192" s="2">
        <v>0</v>
      </c>
      <c r="Q192" s="2">
        <v>0</v>
      </c>
      <c r="R192" s="2" t="s">
        <v>126</v>
      </c>
    </row>
    <row r="193" spans="1:18" ht="15" customHeight="1">
      <c r="A193" s="2">
        <v>192</v>
      </c>
      <c r="B193" s="2" t="s">
        <v>73</v>
      </c>
      <c r="C193" s="2" t="s">
        <v>20</v>
      </c>
      <c r="D193" s="2" t="s">
        <v>16</v>
      </c>
      <c r="E193" s="2" t="s">
        <v>22</v>
      </c>
      <c r="F193" s="2">
        <v>54966.18</v>
      </c>
      <c r="G193" s="2">
        <v>4423</v>
      </c>
      <c r="H193" s="2">
        <v>0.186</v>
      </c>
      <c r="I193" s="2">
        <v>13</v>
      </c>
      <c r="J193" s="2">
        <v>88.7</v>
      </c>
      <c r="K193" s="2">
        <v>0.2</v>
      </c>
      <c r="L193" s="2">
        <v>0</v>
      </c>
      <c r="M193" s="2">
        <v>4.4000000000000004</v>
      </c>
      <c r="N193" s="2">
        <v>554012.06999999995</v>
      </c>
      <c r="O193" s="2">
        <v>81101.62</v>
      </c>
      <c r="P193" s="2">
        <v>0</v>
      </c>
      <c r="Q193" s="2">
        <v>0</v>
      </c>
      <c r="R193" s="2" t="s">
        <v>126</v>
      </c>
    </row>
    <row r="194" spans="1:18" ht="15" customHeight="1">
      <c r="A194" s="2">
        <v>193</v>
      </c>
      <c r="B194" s="2" t="s">
        <v>74</v>
      </c>
      <c r="C194" s="2" t="s">
        <v>15</v>
      </c>
      <c r="D194" s="2" t="s">
        <v>31</v>
      </c>
      <c r="E194" s="2" t="s">
        <v>17</v>
      </c>
      <c r="F194" s="2">
        <v>81796.740000000005</v>
      </c>
      <c r="G194" s="2">
        <v>6177</v>
      </c>
      <c r="H194" s="2">
        <v>0.16400000000000001</v>
      </c>
      <c r="I194" s="2">
        <v>14</v>
      </c>
      <c r="J194" s="2">
        <v>87.9</v>
      </c>
      <c r="K194" s="2">
        <v>0.53</v>
      </c>
      <c r="L194" s="2">
        <v>0</v>
      </c>
      <c r="M194" s="2">
        <v>3.2</v>
      </c>
      <c r="N194" s="2">
        <v>643428.85</v>
      </c>
      <c r="O194" s="2">
        <v>94477.63</v>
      </c>
      <c r="P194" s="2">
        <v>0</v>
      </c>
      <c r="Q194" s="2">
        <v>0</v>
      </c>
      <c r="R194" s="2" t="s">
        <v>126</v>
      </c>
    </row>
    <row r="195" spans="1:18" ht="15" customHeight="1">
      <c r="A195" s="2">
        <v>194</v>
      </c>
      <c r="B195" s="2" t="s">
        <v>74</v>
      </c>
      <c r="C195" s="2" t="s">
        <v>18</v>
      </c>
      <c r="D195" s="2" t="s">
        <v>31</v>
      </c>
      <c r="E195" s="2" t="s">
        <v>17</v>
      </c>
      <c r="F195" s="2">
        <v>51133.43</v>
      </c>
      <c r="G195" s="2">
        <v>5150</v>
      </c>
      <c r="H195" s="2">
        <v>0.15</v>
      </c>
      <c r="I195" s="2">
        <v>12</v>
      </c>
      <c r="J195" s="2">
        <v>88.5</v>
      </c>
      <c r="K195" s="2">
        <v>1.54</v>
      </c>
      <c r="L195" s="2">
        <v>0</v>
      </c>
      <c r="M195" s="2">
        <v>3.2</v>
      </c>
      <c r="N195" s="2">
        <v>611924.27</v>
      </c>
      <c r="O195" s="2">
        <v>115488.75</v>
      </c>
      <c r="P195" s="2">
        <v>0</v>
      </c>
      <c r="Q195" s="2">
        <v>0</v>
      </c>
      <c r="R195" s="2" t="s">
        <v>126</v>
      </c>
    </row>
    <row r="196" spans="1:18" ht="15" customHeight="1">
      <c r="A196" s="2">
        <v>195</v>
      </c>
      <c r="B196" s="2" t="s">
        <v>74</v>
      </c>
      <c r="C196" s="2" t="s">
        <v>19</v>
      </c>
      <c r="D196" s="2" t="s">
        <v>31</v>
      </c>
      <c r="E196" s="2" t="s">
        <v>17</v>
      </c>
      <c r="F196" s="2">
        <v>40220.18</v>
      </c>
      <c r="G196" s="2">
        <v>3783</v>
      </c>
      <c r="H196" s="2">
        <v>8.8999999999999996E-2</v>
      </c>
      <c r="I196" s="2">
        <v>14</v>
      </c>
      <c r="J196" s="2">
        <v>86.6</v>
      </c>
      <c r="K196" s="2">
        <v>3.63</v>
      </c>
      <c r="L196" s="2">
        <v>0</v>
      </c>
      <c r="M196" s="2">
        <v>3.7</v>
      </c>
      <c r="N196" s="2">
        <v>559422.02</v>
      </c>
      <c r="O196" s="2">
        <v>73528.740000000005</v>
      </c>
      <c r="P196" s="2">
        <v>0</v>
      </c>
      <c r="Q196" s="2">
        <v>0</v>
      </c>
      <c r="R196" s="2" t="s">
        <v>126</v>
      </c>
    </row>
    <row r="197" spans="1:18" ht="15" customHeight="1">
      <c r="A197" s="2">
        <v>196</v>
      </c>
      <c r="B197" s="2" t="s">
        <v>74</v>
      </c>
      <c r="C197" s="2" t="s">
        <v>20</v>
      </c>
      <c r="D197" s="2" t="s">
        <v>31</v>
      </c>
      <c r="E197" s="2" t="s">
        <v>17</v>
      </c>
      <c r="F197" s="2">
        <v>41657.64</v>
      </c>
      <c r="G197" s="2">
        <v>3135</v>
      </c>
      <c r="H197" s="2">
        <v>0.22900000000000001</v>
      </c>
      <c r="I197" s="2">
        <v>7</v>
      </c>
      <c r="J197" s="2">
        <v>85.4</v>
      </c>
      <c r="K197" s="2">
        <v>13.48</v>
      </c>
      <c r="L197" s="2">
        <v>0</v>
      </c>
      <c r="M197" s="2">
        <v>3.9</v>
      </c>
      <c r="N197" s="2">
        <v>449465.06</v>
      </c>
      <c r="O197" s="2">
        <v>65694.78</v>
      </c>
      <c r="P197" s="2">
        <v>1</v>
      </c>
      <c r="Q197" s="2">
        <v>0</v>
      </c>
      <c r="R197" s="2" t="s">
        <v>127</v>
      </c>
    </row>
    <row r="198" spans="1:18" ht="15" customHeight="1">
      <c r="A198" s="2">
        <v>197</v>
      </c>
      <c r="B198" s="2" t="s">
        <v>75</v>
      </c>
      <c r="C198" s="2" t="s">
        <v>15</v>
      </c>
      <c r="D198" s="2" t="s">
        <v>24</v>
      </c>
      <c r="E198" s="2" t="s">
        <v>17</v>
      </c>
      <c r="F198" s="2">
        <v>71851.45</v>
      </c>
      <c r="G198" s="2">
        <v>4970</v>
      </c>
      <c r="H198" s="2">
        <v>9.8000000000000004E-2</v>
      </c>
      <c r="I198" s="2">
        <v>11</v>
      </c>
      <c r="J198" s="2">
        <v>89.6</v>
      </c>
      <c r="K198" s="2">
        <v>0.2</v>
      </c>
      <c r="L198" s="2">
        <v>0</v>
      </c>
      <c r="M198" s="2">
        <v>4.2</v>
      </c>
      <c r="N198" s="2">
        <v>691447.43</v>
      </c>
      <c r="O198" s="2">
        <v>114077.69</v>
      </c>
      <c r="P198" s="2">
        <v>0</v>
      </c>
      <c r="Q198" s="2">
        <v>0</v>
      </c>
      <c r="R198" s="2" t="s">
        <v>126</v>
      </c>
    </row>
    <row r="199" spans="1:18" ht="15" customHeight="1">
      <c r="A199" s="2">
        <v>198</v>
      </c>
      <c r="B199" s="2" t="s">
        <v>75</v>
      </c>
      <c r="C199" s="2" t="s">
        <v>18</v>
      </c>
      <c r="D199" s="2" t="s">
        <v>24</v>
      </c>
      <c r="E199" s="2" t="s">
        <v>17</v>
      </c>
      <c r="F199" s="2">
        <v>54002.83</v>
      </c>
      <c r="G199" s="2">
        <v>4366</v>
      </c>
      <c r="H199" s="2">
        <v>2.7E-2</v>
      </c>
      <c r="I199" s="2">
        <v>15</v>
      </c>
      <c r="J199" s="2">
        <v>90.6</v>
      </c>
      <c r="K199" s="2">
        <v>12.82</v>
      </c>
      <c r="L199" s="2">
        <v>0</v>
      </c>
      <c r="M199" s="2">
        <v>4.5999999999999996</v>
      </c>
      <c r="N199" s="2">
        <v>574066.61</v>
      </c>
      <c r="O199" s="2">
        <v>124674.67</v>
      </c>
      <c r="P199" s="2">
        <v>0</v>
      </c>
      <c r="Q199" s="2">
        <v>0</v>
      </c>
      <c r="R199" s="2" t="s">
        <v>126</v>
      </c>
    </row>
    <row r="200" spans="1:18" ht="15" customHeight="1">
      <c r="A200" s="2">
        <v>199</v>
      </c>
      <c r="B200" s="2" t="s">
        <v>75</v>
      </c>
      <c r="C200" s="2" t="s">
        <v>19</v>
      </c>
      <c r="D200" s="2" t="s">
        <v>24</v>
      </c>
      <c r="E200" s="2" t="s">
        <v>17</v>
      </c>
      <c r="F200" s="2">
        <v>54479.33</v>
      </c>
      <c r="G200" s="2">
        <v>5012</v>
      </c>
      <c r="H200" s="2">
        <v>0.28399999999999997</v>
      </c>
      <c r="I200" s="2">
        <v>13</v>
      </c>
      <c r="J200" s="2">
        <v>86</v>
      </c>
      <c r="K200" s="2">
        <v>2.2400000000000002</v>
      </c>
      <c r="L200" s="2">
        <v>1</v>
      </c>
      <c r="M200" s="2">
        <v>4.3</v>
      </c>
      <c r="N200" s="2">
        <v>578949.84</v>
      </c>
      <c r="O200" s="2">
        <v>80253.649999999994</v>
      </c>
      <c r="P200" s="2">
        <v>0</v>
      </c>
      <c r="Q200" s="2">
        <v>0</v>
      </c>
      <c r="R200" s="2" t="s">
        <v>126</v>
      </c>
    </row>
    <row r="201" spans="1:18" ht="15" customHeight="1">
      <c r="A201" s="2">
        <v>200</v>
      </c>
      <c r="B201" s="2" t="s">
        <v>75</v>
      </c>
      <c r="C201" s="2" t="s">
        <v>20</v>
      </c>
      <c r="D201" s="2" t="s">
        <v>24</v>
      </c>
      <c r="E201" s="2" t="s">
        <v>17</v>
      </c>
      <c r="F201" s="2">
        <v>61391.8</v>
      </c>
      <c r="G201" s="2">
        <v>5575</v>
      </c>
      <c r="H201" s="2">
        <v>0.189</v>
      </c>
      <c r="I201" s="2">
        <v>18</v>
      </c>
      <c r="J201" s="2">
        <v>90</v>
      </c>
      <c r="K201" s="2">
        <v>1.8</v>
      </c>
      <c r="L201" s="2">
        <v>0</v>
      </c>
      <c r="M201" s="2">
        <v>4.8</v>
      </c>
      <c r="N201" s="2">
        <v>735786.64</v>
      </c>
      <c r="O201" s="2">
        <v>126540.66</v>
      </c>
      <c r="P201" s="2">
        <v>0</v>
      </c>
      <c r="Q201" s="2">
        <v>0</v>
      </c>
      <c r="R201" s="2" t="s">
        <v>126</v>
      </c>
    </row>
    <row r="202" spans="1:18" ht="15" customHeight="1">
      <c r="A202" s="2">
        <v>201</v>
      </c>
      <c r="B202" s="2" t="s">
        <v>76</v>
      </c>
      <c r="C202" s="2" t="s">
        <v>15</v>
      </c>
      <c r="D202" s="2" t="s">
        <v>16</v>
      </c>
      <c r="E202" s="2" t="s">
        <v>25</v>
      </c>
      <c r="F202" s="2">
        <v>22312.93</v>
      </c>
      <c r="G202" s="2">
        <v>5955</v>
      </c>
      <c r="H202" s="2">
        <v>0.123</v>
      </c>
      <c r="I202" s="2">
        <v>13</v>
      </c>
      <c r="J202" s="2">
        <v>84.2</v>
      </c>
      <c r="K202" s="2">
        <v>0.41</v>
      </c>
      <c r="L202" s="2">
        <v>1</v>
      </c>
      <c r="M202" s="2">
        <v>4.5999999999999996</v>
      </c>
      <c r="N202" s="2">
        <v>598904.9</v>
      </c>
      <c r="O202" s="2">
        <v>72861</v>
      </c>
      <c r="P202" s="2">
        <v>0</v>
      </c>
      <c r="Q202" s="2">
        <v>0</v>
      </c>
      <c r="R202" s="2" t="s">
        <v>126</v>
      </c>
    </row>
    <row r="203" spans="1:18" ht="15" customHeight="1">
      <c r="A203" s="2">
        <v>202</v>
      </c>
      <c r="B203" s="2" t="s">
        <v>76</v>
      </c>
      <c r="C203" s="2" t="s">
        <v>18</v>
      </c>
      <c r="D203" s="2" t="s">
        <v>16</v>
      </c>
      <c r="E203" s="2" t="s">
        <v>25</v>
      </c>
      <c r="F203" s="2">
        <v>78111.97</v>
      </c>
      <c r="G203" s="2">
        <v>6389</v>
      </c>
      <c r="H203" s="2">
        <v>0.15</v>
      </c>
      <c r="I203" s="2">
        <v>13</v>
      </c>
      <c r="J203" s="2">
        <v>83.9</v>
      </c>
      <c r="K203" s="2">
        <v>3.05</v>
      </c>
      <c r="L203" s="2">
        <v>0</v>
      </c>
      <c r="M203" s="2">
        <v>4.8</v>
      </c>
      <c r="N203" s="2">
        <v>787715.51</v>
      </c>
      <c r="O203" s="2">
        <v>128969.62</v>
      </c>
      <c r="P203" s="2">
        <v>0</v>
      </c>
      <c r="Q203" s="2">
        <v>0</v>
      </c>
      <c r="R203" s="2" t="s">
        <v>126</v>
      </c>
    </row>
    <row r="204" spans="1:18" ht="15" customHeight="1">
      <c r="A204" s="2">
        <v>203</v>
      </c>
      <c r="B204" s="2" t="s">
        <v>76</v>
      </c>
      <c r="C204" s="2" t="s">
        <v>19</v>
      </c>
      <c r="D204" s="2" t="s">
        <v>16</v>
      </c>
      <c r="E204" s="2" t="s">
        <v>25</v>
      </c>
      <c r="F204" s="2">
        <v>35203.230000000003</v>
      </c>
      <c r="G204" s="2">
        <v>6896</v>
      </c>
      <c r="H204" s="2">
        <v>3.2000000000000001E-2</v>
      </c>
      <c r="I204" s="2">
        <v>14</v>
      </c>
      <c r="J204" s="2">
        <v>80.8</v>
      </c>
      <c r="K204" s="2">
        <v>8.44</v>
      </c>
      <c r="L204" s="2">
        <v>1</v>
      </c>
      <c r="M204" s="2">
        <v>5</v>
      </c>
      <c r="N204" s="2">
        <v>607084.92000000004</v>
      </c>
      <c r="O204" s="2">
        <v>98558.49</v>
      </c>
      <c r="P204" s="2">
        <v>0</v>
      </c>
      <c r="Q204" s="2">
        <v>0</v>
      </c>
      <c r="R204" s="2" t="s">
        <v>126</v>
      </c>
    </row>
    <row r="205" spans="1:18" ht="15" customHeight="1">
      <c r="A205" s="2">
        <v>204</v>
      </c>
      <c r="B205" s="2" t="s">
        <v>76</v>
      </c>
      <c r="C205" s="2" t="s">
        <v>20</v>
      </c>
      <c r="D205" s="2" t="s">
        <v>16</v>
      </c>
      <c r="E205" s="2" t="s">
        <v>25</v>
      </c>
      <c r="F205" s="2">
        <v>64104.28</v>
      </c>
      <c r="G205" s="2">
        <v>6015</v>
      </c>
      <c r="H205" s="2">
        <v>0.127</v>
      </c>
      <c r="I205" s="2">
        <v>15</v>
      </c>
      <c r="J205" s="2">
        <v>88.7</v>
      </c>
      <c r="K205" s="2">
        <v>0.78</v>
      </c>
      <c r="L205" s="2">
        <v>0</v>
      </c>
      <c r="M205" s="2">
        <v>4</v>
      </c>
      <c r="N205" s="2">
        <v>650795.49</v>
      </c>
      <c r="O205" s="2">
        <v>103035.89</v>
      </c>
      <c r="P205" s="2">
        <v>0</v>
      </c>
      <c r="Q205" s="2">
        <v>0</v>
      </c>
      <c r="R205" s="2" t="s">
        <v>126</v>
      </c>
    </row>
    <row r="206" spans="1:18" ht="15" customHeight="1">
      <c r="A206" s="2">
        <v>205</v>
      </c>
      <c r="B206" s="2" t="s">
        <v>77</v>
      </c>
      <c r="C206" s="2" t="s">
        <v>15</v>
      </c>
      <c r="D206" s="2" t="s">
        <v>16</v>
      </c>
      <c r="E206" s="2" t="s">
        <v>32</v>
      </c>
      <c r="F206" s="2">
        <v>92090.14</v>
      </c>
      <c r="G206" s="2">
        <v>9476</v>
      </c>
      <c r="H206" s="2">
        <v>7.0000000000000007E-2</v>
      </c>
      <c r="I206" s="2">
        <v>24</v>
      </c>
      <c r="J206" s="2">
        <v>94.3</v>
      </c>
      <c r="K206" s="2">
        <v>0.87</v>
      </c>
      <c r="L206" s="2">
        <v>0</v>
      </c>
      <c r="M206" s="2">
        <v>3.7</v>
      </c>
      <c r="N206" s="2">
        <v>825060.52</v>
      </c>
      <c r="O206" s="2">
        <v>143613.15</v>
      </c>
      <c r="P206" s="2">
        <v>0</v>
      </c>
      <c r="Q206" s="2">
        <v>0</v>
      </c>
      <c r="R206" s="2" t="s">
        <v>126</v>
      </c>
    </row>
    <row r="207" spans="1:18" ht="15" customHeight="1">
      <c r="A207" s="2">
        <v>206</v>
      </c>
      <c r="B207" s="2" t="s">
        <v>77</v>
      </c>
      <c r="C207" s="2" t="s">
        <v>18</v>
      </c>
      <c r="D207" s="2" t="s">
        <v>16</v>
      </c>
      <c r="E207" s="2" t="s">
        <v>32</v>
      </c>
      <c r="F207" s="2">
        <v>54300.87</v>
      </c>
      <c r="G207" s="2">
        <v>7875</v>
      </c>
      <c r="H207" s="2">
        <v>0.107</v>
      </c>
      <c r="I207" s="2">
        <v>19</v>
      </c>
      <c r="J207" s="2">
        <v>94.1</v>
      </c>
      <c r="K207" s="2">
        <v>0.95</v>
      </c>
      <c r="L207" s="2">
        <v>0</v>
      </c>
      <c r="M207" s="2">
        <v>3.7</v>
      </c>
      <c r="N207" s="2">
        <v>795464.47</v>
      </c>
      <c r="O207" s="2">
        <v>161150.51999999999</v>
      </c>
      <c r="P207" s="2">
        <v>0</v>
      </c>
      <c r="Q207" s="2">
        <v>0</v>
      </c>
      <c r="R207" s="2" t="s">
        <v>126</v>
      </c>
    </row>
    <row r="208" spans="1:18" ht="15" customHeight="1">
      <c r="A208" s="2">
        <v>207</v>
      </c>
      <c r="B208" s="2" t="s">
        <v>77</v>
      </c>
      <c r="C208" s="2" t="s">
        <v>19</v>
      </c>
      <c r="D208" s="2" t="s">
        <v>16</v>
      </c>
      <c r="E208" s="2" t="s">
        <v>32</v>
      </c>
      <c r="F208" s="2">
        <v>37983.35</v>
      </c>
      <c r="G208" s="2">
        <v>9283</v>
      </c>
      <c r="H208" s="2">
        <v>0.14899999999999999</v>
      </c>
      <c r="I208" s="2">
        <v>19</v>
      </c>
      <c r="J208" s="2">
        <v>83.2</v>
      </c>
      <c r="K208" s="2">
        <v>3.82</v>
      </c>
      <c r="L208" s="2">
        <v>0</v>
      </c>
      <c r="M208" s="2">
        <v>3.7</v>
      </c>
      <c r="N208" s="2">
        <v>671868.59</v>
      </c>
      <c r="O208" s="2">
        <v>71003.28</v>
      </c>
      <c r="P208" s="2">
        <v>0</v>
      </c>
      <c r="Q208" s="2">
        <v>0</v>
      </c>
      <c r="R208" s="2" t="s">
        <v>126</v>
      </c>
    </row>
    <row r="209" spans="1:18" ht="15" customHeight="1">
      <c r="A209" s="2">
        <v>208</v>
      </c>
      <c r="B209" s="2" t="s">
        <v>77</v>
      </c>
      <c r="C209" s="2" t="s">
        <v>20</v>
      </c>
      <c r="D209" s="2" t="s">
        <v>16</v>
      </c>
      <c r="E209" s="2" t="s">
        <v>32</v>
      </c>
      <c r="F209" s="2">
        <v>56413.83</v>
      </c>
      <c r="G209" s="2">
        <v>8303</v>
      </c>
      <c r="H209" s="2">
        <v>0.11600000000000001</v>
      </c>
      <c r="I209" s="2">
        <v>18</v>
      </c>
      <c r="J209" s="2">
        <v>93.6</v>
      </c>
      <c r="K209" s="2">
        <v>2.7</v>
      </c>
      <c r="L209" s="2">
        <v>0</v>
      </c>
      <c r="M209" s="2">
        <v>3.7</v>
      </c>
      <c r="N209" s="2">
        <v>675917.63</v>
      </c>
      <c r="O209" s="2">
        <v>112564.75</v>
      </c>
      <c r="P209" s="2">
        <v>0</v>
      </c>
      <c r="Q209" s="2">
        <v>0</v>
      </c>
      <c r="R209" s="2" t="s">
        <v>126</v>
      </c>
    </row>
    <row r="210" spans="1:18" ht="15" customHeight="1">
      <c r="A210" s="2">
        <v>209</v>
      </c>
      <c r="B210" s="2" t="s">
        <v>78</v>
      </c>
      <c r="C210" s="2" t="s">
        <v>15</v>
      </c>
      <c r="D210" s="2" t="s">
        <v>16</v>
      </c>
      <c r="E210" s="2" t="s">
        <v>22</v>
      </c>
      <c r="F210" s="2">
        <v>63457.19</v>
      </c>
      <c r="G210" s="2">
        <v>10125</v>
      </c>
      <c r="H210" s="2">
        <v>9.7000000000000003E-2</v>
      </c>
      <c r="I210" s="2">
        <v>24</v>
      </c>
      <c r="J210" s="2">
        <v>87</v>
      </c>
      <c r="K210" s="2">
        <v>3.84</v>
      </c>
      <c r="L210" s="2">
        <v>1</v>
      </c>
      <c r="M210" s="2">
        <v>3.7</v>
      </c>
      <c r="N210" s="2">
        <v>810446.53</v>
      </c>
      <c r="O210" s="2">
        <v>200575.34</v>
      </c>
      <c r="P210" s="2">
        <v>0</v>
      </c>
      <c r="Q210" s="2">
        <v>0</v>
      </c>
      <c r="R210" s="2" t="s">
        <v>126</v>
      </c>
    </row>
    <row r="211" spans="1:18" ht="15" customHeight="1">
      <c r="A211" s="2">
        <v>210</v>
      </c>
      <c r="B211" s="2" t="s">
        <v>78</v>
      </c>
      <c r="C211" s="2" t="s">
        <v>18</v>
      </c>
      <c r="D211" s="2" t="s">
        <v>16</v>
      </c>
      <c r="E211" s="2" t="s">
        <v>22</v>
      </c>
      <c r="F211" s="2">
        <v>62949.7</v>
      </c>
      <c r="G211" s="2">
        <v>9458</v>
      </c>
      <c r="H211" s="2">
        <v>0.17100000000000001</v>
      </c>
      <c r="I211" s="2">
        <v>19</v>
      </c>
      <c r="J211" s="2">
        <v>84.9</v>
      </c>
      <c r="K211" s="2">
        <v>5.09</v>
      </c>
      <c r="L211" s="2">
        <v>0</v>
      </c>
      <c r="M211" s="2">
        <v>3.3</v>
      </c>
      <c r="N211" s="2">
        <v>691288.19</v>
      </c>
      <c r="O211" s="2">
        <v>159074.14000000001</v>
      </c>
      <c r="P211" s="2">
        <v>0</v>
      </c>
      <c r="Q211" s="2">
        <v>0</v>
      </c>
      <c r="R211" s="2" t="s">
        <v>126</v>
      </c>
    </row>
    <row r="212" spans="1:18" ht="15" customHeight="1">
      <c r="A212" s="2">
        <v>211</v>
      </c>
      <c r="B212" s="2" t="s">
        <v>78</v>
      </c>
      <c r="C212" s="2" t="s">
        <v>19</v>
      </c>
      <c r="D212" s="2" t="s">
        <v>16</v>
      </c>
      <c r="E212" s="2" t="s">
        <v>22</v>
      </c>
      <c r="F212" s="2">
        <v>107970.19</v>
      </c>
      <c r="G212" s="2">
        <v>12870</v>
      </c>
      <c r="H212" s="2">
        <v>2.9000000000000001E-2</v>
      </c>
      <c r="I212" s="2">
        <v>31</v>
      </c>
      <c r="J212" s="2">
        <v>91.7</v>
      </c>
      <c r="K212" s="2">
        <v>3.82</v>
      </c>
      <c r="L212" s="2">
        <v>1</v>
      </c>
      <c r="M212" s="2">
        <v>3.7</v>
      </c>
      <c r="N212" s="2">
        <v>946833.54</v>
      </c>
      <c r="O212" s="2">
        <v>184540.31</v>
      </c>
      <c r="P212" s="2">
        <v>0</v>
      </c>
      <c r="Q212" s="2">
        <v>0</v>
      </c>
      <c r="R212" s="2" t="s">
        <v>126</v>
      </c>
    </row>
    <row r="213" spans="1:18" ht="15" customHeight="1">
      <c r="A213" s="2">
        <v>212</v>
      </c>
      <c r="B213" s="2" t="s">
        <v>78</v>
      </c>
      <c r="C213" s="2" t="s">
        <v>20</v>
      </c>
      <c r="D213" s="2" t="s">
        <v>16</v>
      </c>
      <c r="E213" s="2" t="s">
        <v>22</v>
      </c>
      <c r="F213" s="2">
        <v>49405.75</v>
      </c>
      <c r="G213" s="2">
        <v>9752</v>
      </c>
      <c r="H213" s="2">
        <v>9.2999999999999999E-2</v>
      </c>
      <c r="I213" s="2">
        <v>21</v>
      </c>
      <c r="J213" s="2">
        <v>87</v>
      </c>
      <c r="K213" s="2">
        <v>12.28</v>
      </c>
      <c r="L213" s="2">
        <v>0</v>
      </c>
      <c r="M213" s="2">
        <v>4.0999999999999996</v>
      </c>
      <c r="N213" s="2">
        <v>761963.23</v>
      </c>
      <c r="O213" s="2">
        <v>150113.60999999999</v>
      </c>
      <c r="P213" s="2">
        <v>0</v>
      </c>
      <c r="Q213" s="2">
        <v>0</v>
      </c>
      <c r="R213" s="2" t="s">
        <v>126</v>
      </c>
    </row>
    <row r="214" spans="1:18" ht="15" customHeight="1">
      <c r="A214" s="2">
        <v>213</v>
      </c>
      <c r="B214" s="2" t="s">
        <v>79</v>
      </c>
      <c r="C214" s="2" t="s">
        <v>15</v>
      </c>
      <c r="D214" s="2" t="s">
        <v>31</v>
      </c>
      <c r="E214" s="2" t="s">
        <v>17</v>
      </c>
      <c r="F214" s="2">
        <v>50887.46</v>
      </c>
      <c r="G214" s="2">
        <v>9505</v>
      </c>
      <c r="H214" s="2">
        <v>9.0999999999999998E-2</v>
      </c>
      <c r="I214" s="2">
        <v>25</v>
      </c>
      <c r="J214" s="2">
        <v>89.7</v>
      </c>
      <c r="K214" s="2">
        <v>2.8</v>
      </c>
      <c r="L214" s="2">
        <v>0</v>
      </c>
      <c r="M214" s="2">
        <v>4.3</v>
      </c>
      <c r="N214" s="2">
        <v>812152.6</v>
      </c>
      <c r="O214" s="2">
        <v>138419.43</v>
      </c>
      <c r="P214" s="2">
        <v>0</v>
      </c>
      <c r="Q214" s="2">
        <v>0</v>
      </c>
      <c r="R214" s="2" t="s">
        <v>126</v>
      </c>
    </row>
    <row r="215" spans="1:18" ht="15" customHeight="1">
      <c r="A215" s="2">
        <v>214</v>
      </c>
      <c r="B215" s="2" t="s">
        <v>79</v>
      </c>
      <c r="C215" s="2" t="s">
        <v>18</v>
      </c>
      <c r="D215" s="2" t="s">
        <v>31</v>
      </c>
      <c r="E215" s="2" t="s">
        <v>17</v>
      </c>
      <c r="F215" s="2">
        <v>41819.449999999997</v>
      </c>
      <c r="G215" s="2">
        <v>9412</v>
      </c>
      <c r="H215" s="2">
        <v>0.15</v>
      </c>
      <c r="I215" s="2">
        <v>22</v>
      </c>
      <c r="J215" s="2">
        <v>91</v>
      </c>
      <c r="K215" s="2">
        <v>3.67</v>
      </c>
      <c r="L215" s="2">
        <v>0</v>
      </c>
      <c r="M215" s="2">
        <v>4.2</v>
      </c>
      <c r="N215" s="2">
        <v>804975.5</v>
      </c>
      <c r="O215" s="2">
        <v>140054.5</v>
      </c>
      <c r="P215" s="2">
        <v>0</v>
      </c>
      <c r="Q215" s="2">
        <v>0</v>
      </c>
      <c r="R215" s="2" t="s">
        <v>126</v>
      </c>
    </row>
    <row r="216" spans="1:18" ht="15" customHeight="1">
      <c r="A216" s="2">
        <v>215</v>
      </c>
      <c r="B216" s="2" t="s">
        <v>79</v>
      </c>
      <c r="C216" s="2" t="s">
        <v>19</v>
      </c>
      <c r="D216" s="2" t="s">
        <v>31</v>
      </c>
      <c r="E216" s="2" t="s">
        <v>17</v>
      </c>
      <c r="F216" s="2">
        <v>35296.54</v>
      </c>
      <c r="G216" s="2">
        <v>9644</v>
      </c>
      <c r="H216" s="2">
        <v>0</v>
      </c>
      <c r="I216" s="2">
        <v>22</v>
      </c>
      <c r="J216" s="2">
        <v>88</v>
      </c>
      <c r="K216" s="2">
        <v>2.81</v>
      </c>
      <c r="L216" s="2">
        <v>0</v>
      </c>
      <c r="M216" s="2">
        <v>4.7</v>
      </c>
      <c r="N216" s="2">
        <v>752321.72</v>
      </c>
      <c r="O216" s="2">
        <v>137788.51</v>
      </c>
      <c r="P216" s="2">
        <v>0</v>
      </c>
      <c r="Q216" s="2">
        <v>0</v>
      </c>
      <c r="R216" s="2" t="s">
        <v>126</v>
      </c>
    </row>
    <row r="217" spans="1:18" ht="15" customHeight="1">
      <c r="A217" s="2">
        <v>216</v>
      </c>
      <c r="B217" s="2" t="s">
        <v>79</v>
      </c>
      <c r="C217" s="2" t="s">
        <v>20</v>
      </c>
      <c r="D217" s="2" t="s">
        <v>31</v>
      </c>
      <c r="E217" s="2" t="s">
        <v>17</v>
      </c>
      <c r="F217" s="2">
        <v>47391.09</v>
      </c>
      <c r="G217" s="2">
        <v>11224</v>
      </c>
      <c r="H217" s="2">
        <v>0.14699999999999999</v>
      </c>
      <c r="I217" s="2">
        <v>25</v>
      </c>
      <c r="J217" s="2">
        <v>88.4</v>
      </c>
      <c r="K217" s="2">
        <v>2.44</v>
      </c>
      <c r="L217" s="2">
        <v>0</v>
      </c>
      <c r="M217" s="2">
        <v>4.9000000000000004</v>
      </c>
      <c r="N217" s="2">
        <v>836908.24</v>
      </c>
      <c r="O217" s="2">
        <v>141090.26</v>
      </c>
      <c r="P217" s="2">
        <v>0</v>
      </c>
      <c r="Q217" s="2">
        <v>0</v>
      </c>
      <c r="R217" s="2" t="s">
        <v>126</v>
      </c>
    </row>
    <row r="218" spans="1:18" ht="15" customHeight="1">
      <c r="A218" s="2">
        <v>217</v>
      </c>
      <c r="B218" s="2" t="s">
        <v>80</v>
      </c>
      <c r="C218" s="2" t="s">
        <v>15</v>
      </c>
      <c r="D218" s="2" t="s">
        <v>24</v>
      </c>
      <c r="E218" s="2" t="s">
        <v>25</v>
      </c>
      <c r="F218" s="2">
        <v>69180.539999999994</v>
      </c>
      <c r="G218" s="2">
        <v>5394</v>
      </c>
      <c r="H218" s="2">
        <v>0.126</v>
      </c>
      <c r="I218" s="2">
        <v>12</v>
      </c>
      <c r="J218" s="2">
        <v>82.9</v>
      </c>
      <c r="K218" s="2">
        <v>3.27</v>
      </c>
      <c r="L218" s="2">
        <v>0</v>
      </c>
      <c r="M218" s="2">
        <v>3.3</v>
      </c>
      <c r="N218" s="2">
        <v>674289.1</v>
      </c>
      <c r="O218" s="2">
        <v>117773.79</v>
      </c>
      <c r="P218" s="2">
        <v>0</v>
      </c>
      <c r="Q218" s="2">
        <v>0</v>
      </c>
      <c r="R218" s="2" t="s">
        <v>126</v>
      </c>
    </row>
    <row r="219" spans="1:18" ht="15" customHeight="1">
      <c r="A219" s="2">
        <v>218</v>
      </c>
      <c r="B219" s="2" t="s">
        <v>80</v>
      </c>
      <c r="C219" s="2" t="s">
        <v>18</v>
      </c>
      <c r="D219" s="2" t="s">
        <v>24</v>
      </c>
      <c r="E219" s="2" t="s">
        <v>25</v>
      </c>
      <c r="F219" s="2">
        <v>33987.33</v>
      </c>
      <c r="G219" s="2">
        <v>5014</v>
      </c>
      <c r="H219" s="2">
        <v>0.246</v>
      </c>
      <c r="I219" s="2">
        <v>17</v>
      </c>
      <c r="J219" s="2">
        <v>94.3</v>
      </c>
      <c r="K219" s="2">
        <v>10.34</v>
      </c>
      <c r="L219" s="2">
        <v>0</v>
      </c>
      <c r="M219" s="2">
        <v>3.9</v>
      </c>
      <c r="N219" s="2">
        <v>622892.42000000004</v>
      </c>
      <c r="O219" s="2">
        <v>101032.52</v>
      </c>
      <c r="P219" s="2">
        <v>0</v>
      </c>
      <c r="Q219" s="2">
        <v>0</v>
      </c>
      <c r="R219" s="2" t="s">
        <v>126</v>
      </c>
    </row>
    <row r="220" spans="1:18" ht="15" customHeight="1">
      <c r="A220" s="2">
        <v>219</v>
      </c>
      <c r="B220" s="2" t="s">
        <v>80</v>
      </c>
      <c r="C220" s="2" t="s">
        <v>19</v>
      </c>
      <c r="D220" s="2" t="s">
        <v>24</v>
      </c>
      <c r="E220" s="2" t="s">
        <v>25</v>
      </c>
      <c r="F220" s="2">
        <v>58785.33</v>
      </c>
      <c r="G220" s="2">
        <v>4467</v>
      </c>
      <c r="H220" s="2">
        <v>0.22900000000000001</v>
      </c>
      <c r="I220" s="2">
        <v>14</v>
      </c>
      <c r="J220" s="2">
        <v>90.7</v>
      </c>
      <c r="K220" s="2">
        <v>1.92</v>
      </c>
      <c r="L220" s="2">
        <v>0</v>
      </c>
      <c r="M220" s="2">
        <v>3.7</v>
      </c>
      <c r="N220" s="2">
        <v>673348.56</v>
      </c>
      <c r="O220" s="2">
        <v>69464.59</v>
      </c>
      <c r="P220" s="2">
        <v>0</v>
      </c>
      <c r="Q220" s="2">
        <v>0</v>
      </c>
      <c r="R220" s="2" t="s">
        <v>126</v>
      </c>
    </row>
    <row r="221" spans="1:18" ht="15" customHeight="1">
      <c r="A221" s="2">
        <v>220</v>
      </c>
      <c r="B221" s="2" t="s">
        <v>80</v>
      </c>
      <c r="C221" s="2" t="s">
        <v>20</v>
      </c>
      <c r="D221" s="2" t="s">
        <v>24</v>
      </c>
      <c r="E221" s="2" t="s">
        <v>25</v>
      </c>
      <c r="F221" s="2">
        <v>16451.849999999999</v>
      </c>
      <c r="G221" s="2">
        <v>4678</v>
      </c>
      <c r="H221" s="2">
        <v>0.13300000000000001</v>
      </c>
      <c r="I221" s="2">
        <v>11</v>
      </c>
      <c r="J221" s="2">
        <v>95.9</v>
      </c>
      <c r="K221" s="2">
        <v>3.1</v>
      </c>
      <c r="L221" s="2">
        <v>0</v>
      </c>
      <c r="M221" s="2">
        <v>3.9</v>
      </c>
      <c r="N221" s="2">
        <v>606278.30000000005</v>
      </c>
      <c r="O221" s="2">
        <v>102213.26</v>
      </c>
      <c r="P221" s="2">
        <v>0</v>
      </c>
      <c r="Q221" s="2">
        <v>0</v>
      </c>
      <c r="R221" s="2" t="s">
        <v>126</v>
      </c>
    </row>
    <row r="222" spans="1:18" ht="15" customHeight="1">
      <c r="A222" s="2">
        <v>221</v>
      </c>
      <c r="B222" s="2" t="s">
        <v>81</v>
      </c>
      <c r="C222" s="2" t="s">
        <v>15</v>
      </c>
      <c r="D222" s="2" t="s">
        <v>16</v>
      </c>
      <c r="E222" s="2" t="s">
        <v>22</v>
      </c>
      <c r="F222" s="2">
        <v>53367.73</v>
      </c>
      <c r="G222" s="2">
        <v>7291</v>
      </c>
      <c r="H222" s="2">
        <v>0.14599999999999999</v>
      </c>
      <c r="I222" s="2">
        <v>18</v>
      </c>
      <c r="J222" s="2">
        <v>90.6</v>
      </c>
      <c r="K222" s="2">
        <v>6.34</v>
      </c>
      <c r="L222" s="2">
        <v>1</v>
      </c>
      <c r="M222" s="2">
        <v>3.8</v>
      </c>
      <c r="N222" s="2">
        <v>712219.81</v>
      </c>
      <c r="O222" s="2">
        <v>85906.54</v>
      </c>
      <c r="P222" s="2">
        <v>0</v>
      </c>
      <c r="Q222" s="2">
        <v>0</v>
      </c>
      <c r="R222" s="2" t="s">
        <v>126</v>
      </c>
    </row>
    <row r="223" spans="1:18" ht="15" customHeight="1">
      <c r="A223" s="2">
        <v>222</v>
      </c>
      <c r="B223" s="2" t="s">
        <v>81</v>
      </c>
      <c r="C223" s="2" t="s">
        <v>18</v>
      </c>
      <c r="D223" s="2" t="s">
        <v>16</v>
      </c>
      <c r="E223" s="2" t="s">
        <v>22</v>
      </c>
      <c r="F223" s="2">
        <v>27194.639999999999</v>
      </c>
      <c r="G223" s="2">
        <v>7404</v>
      </c>
      <c r="H223" s="2">
        <v>8.7999999999999995E-2</v>
      </c>
      <c r="I223" s="2">
        <v>18</v>
      </c>
      <c r="J223" s="2">
        <v>90.2</v>
      </c>
      <c r="K223" s="2">
        <v>1.2</v>
      </c>
      <c r="L223" s="2">
        <v>0</v>
      </c>
      <c r="M223" s="2">
        <v>3.4</v>
      </c>
      <c r="N223" s="2">
        <v>672670.54</v>
      </c>
      <c r="O223" s="2">
        <v>132684.18</v>
      </c>
      <c r="P223" s="2">
        <v>0</v>
      </c>
      <c r="Q223" s="2">
        <v>0</v>
      </c>
      <c r="R223" s="2" t="s">
        <v>126</v>
      </c>
    </row>
    <row r="224" spans="1:18" ht="15" customHeight="1">
      <c r="A224" s="2">
        <v>223</v>
      </c>
      <c r="B224" s="2" t="s">
        <v>81</v>
      </c>
      <c r="C224" s="2" t="s">
        <v>19</v>
      </c>
      <c r="D224" s="2" t="s">
        <v>16</v>
      </c>
      <c r="E224" s="2" t="s">
        <v>22</v>
      </c>
      <c r="F224" s="2">
        <v>66962.740000000005</v>
      </c>
      <c r="G224" s="2">
        <v>7880</v>
      </c>
      <c r="H224" s="2">
        <v>0.11600000000000001</v>
      </c>
      <c r="I224" s="2">
        <v>19</v>
      </c>
      <c r="J224" s="2">
        <v>90.4</v>
      </c>
      <c r="K224" s="2">
        <v>4.5</v>
      </c>
      <c r="L224" s="2">
        <v>0</v>
      </c>
      <c r="M224" s="2">
        <v>3.3</v>
      </c>
      <c r="N224" s="2">
        <v>732667.92</v>
      </c>
      <c r="O224" s="2">
        <v>128654.46</v>
      </c>
      <c r="P224" s="2">
        <v>0</v>
      </c>
      <c r="Q224" s="2">
        <v>0</v>
      </c>
      <c r="R224" s="2" t="s">
        <v>126</v>
      </c>
    </row>
    <row r="225" spans="1:18" ht="15" customHeight="1">
      <c r="A225" s="2">
        <v>224</v>
      </c>
      <c r="B225" s="2" t="s">
        <v>81</v>
      </c>
      <c r="C225" s="2" t="s">
        <v>20</v>
      </c>
      <c r="D225" s="2" t="s">
        <v>16</v>
      </c>
      <c r="E225" s="2" t="s">
        <v>22</v>
      </c>
      <c r="F225" s="2">
        <v>73540.990000000005</v>
      </c>
      <c r="G225" s="2">
        <v>8773</v>
      </c>
      <c r="H225" s="2">
        <v>3.5000000000000003E-2</v>
      </c>
      <c r="I225" s="2">
        <v>21</v>
      </c>
      <c r="J225" s="2">
        <v>84.4</v>
      </c>
      <c r="K225" s="2">
        <v>6.68</v>
      </c>
      <c r="L225" s="2">
        <v>0</v>
      </c>
      <c r="M225" s="2">
        <v>3.6</v>
      </c>
      <c r="N225" s="2">
        <v>723531.4</v>
      </c>
      <c r="O225" s="2">
        <v>108794.85</v>
      </c>
      <c r="P225" s="2">
        <v>0</v>
      </c>
      <c r="Q225" s="2">
        <v>0</v>
      </c>
      <c r="R225" s="2" t="s">
        <v>126</v>
      </c>
    </row>
    <row r="226" spans="1:18" ht="15" customHeight="1">
      <c r="A226" s="2">
        <v>225</v>
      </c>
      <c r="B226" s="2" t="s">
        <v>82</v>
      </c>
      <c r="C226" s="2" t="s">
        <v>15</v>
      </c>
      <c r="D226" s="2" t="s">
        <v>16</v>
      </c>
      <c r="E226" s="2" t="s">
        <v>32</v>
      </c>
      <c r="F226" s="2">
        <v>68212.289999999994</v>
      </c>
      <c r="G226" s="2">
        <v>4713</v>
      </c>
      <c r="H226" s="2">
        <v>0.19800000000000001</v>
      </c>
      <c r="I226" s="2">
        <v>15</v>
      </c>
      <c r="J226" s="2">
        <v>82.6</v>
      </c>
      <c r="K226" s="2">
        <v>4.07</v>
      </c>
      <c r="L226" s="2">
        <v>1</v>
      </c>
      <c r="M226" s="2">
        <v>3</v>
      </c>
      <c r="N226" s="2">
        <v>641564.6</v>
      </c>
      <c r="O226" s="2">
        <v>90468.96</v>
      </c>
      <c r="P226" s="2">
        <v>0</v>
      </c>
      <c r="Q226" s="2">
        <v>0</v>
      </c>
      <c r="R226" s="2" t="s">
        <v>126</v>
      </c>
    </row>
    <row r="227" spans="1:18" ht="15" customHeight="1">
      <c r="A227" s="2">
        <v>226</v>
      </c>
      <c r="B227" s="2" t="s">
        <v>82</v>
      </c>
      <c r="C227" s="2" t="s">
        <v>18</v>
      </c>
      <c r="D227" s="2" t="s">
        <v>16</v>
      </c>
      <c r="E227" s="2" t="s">
        <v>32</v>
      </c>
      <c r="F227" s="2">
        <v>57225.98</v>
      </c>
      <c r="G227" s="2">
        <v>2842</v>
      </c>
      <c r="H227" s="2">
        <v>0.112</v>
      </c>
      <c r="I227" s="2">
        <v>10</v>
      </c>
      <c r="J227" s="2">
        <v>79.5</v>
      </c>
      <c r="K227" s="2">
        <v>5.45</v>
      </c>
      <c r="L227" s="2">
        <v>0</v>
      </c>
      <c r="M227" s="2">
        <v>3.4</v>
      </c>
      <c r="N227" s="2">
        <v>536545.49</v>
      </c>
      <c r="O227" s="2">
        <v>97917.45</v>
      </c>
      <c r="P227" s="2">
        <v>0</v>
      </c>
      <c r="Q227" s="2">
        <v>0</v>
      </c>
      <c r="R227" s="2" t="s">
        <v>126</v>
      </c>
    </row>
    <row r="228" spans="1:18" ht="15" customHeight="1">
      <c r="A228" s="2">
        <v>227</v>
      </c>
      <c r="B228" s="2" t="s">
        <v>82</v>
      </c>
      <c r="C228" s="2" t="s">
        <v>19</v>
      </c>
      <c r="D228" s="2" t="s">
        <v>16</v>
      </c>
      <c r="E228" s="2" t="s">
        <v>32</v>
      </c>
      <c r="F228" s="2">
        <v>42932.02</v>
      </c>
      <c r="G228" s="2">
        <v>3872</v>
      </c>
      <c r="H228" s="2">
        <v>0.17100000000000001</v>
      </c>
      <c r="I228" s="2">
        <v>12</v>
      </c>
      <c r="J228" s="2">
        <v>83.2</v>
      </c>
      <c r="K228" s="2">
        <v>15.58</v>
      </c>
      <c r="L228" s="2">
        <v>0</v>
      </c>
      <c r="M228" s="2">
        <v>3.3</v>
      </c>
      <c r="N228" s="2">
        <v>527681.56000000006</v>
      </c>
      <c r="O228" s="2">
        <v>63153.05</v>
      </c>
      <c r="P228" s="2">
        <v>0</v>
      </c>
      <c r="Q228" s="2">
        <v>0</v>
      </c>
      <c r="R228" s="2" t="s">
        <v>126</v>
      </c>
    </row>
    <row r="229" spans="1:18" ht="15" customHeight="1">
      <c r="A229" s="2">
        <v>228</v>
      </c>
      <c r="B229" s="2" t="s">
        <v>82</v>
      </c>
      <c r="C229" s="2" t="s">
        <v>20</v>
      </c>
      <c r="D229" s="2" t="s">
        <v>16</v>
      </c>
      <c r="E229" s="2" t="s">
        <v>32</v>
      </c>
      <c r="F229" s="2">
        <v>39341.449999999997</v>
      </c>
      <c r="G229" s="2">
        <v>1375</v>
      </c>
      <c r="H229" s="2">
        <v>9.2999999999999999E-2</v>
      </c>
      <c r="I229" s="2">
        <v>5</v>
      </c>
      <c r="J229" s="2">
        <v>95</v>
      </c>
      <c r="K229" s="2">
        <v>5.32</v>
      </c>
      <c r="L229" s="2">
        <v>0</v>
      </c>
      <c r="M229" s="2">
        <v>3.9</v>
      </c>
      <c r="N229" s="2">
        <v>529598.93999999994</v>
      </c>
      <c r="O229" s="2">
        <v>84334.33</v>
      </c>
      <c r="P229" s="2">
        <v>1</v>
      </c>
      <c r="Q229" s="2">
        <v>0</v>
      </c>
      <c r="R229" s="2" t="s">
        <v>127</v>
      </c>
    </row>
    <row r="230" spans="1:18" ht="15" customHeight="1">
      <c r="A230" s="2">
        <v>229</v>
      </c>
      <c r="B230" s="2" t="s">
        <v>83</v>
      </c>
      <c r="C230" s="2" t="s">
        <v>15</v>
      </c>
      <c r="D230" s="2" t="s">
        <v>16</v>
      </c>
      <c r="E230" s="2" t="s">
        <v>22</v>
      </c>
      <c r="F230" s="2">
        <v>37324.230000000003</v>
      </c>
      <c r="G230" s="2">
        <v>5957</v>
      </c>
      <c r="H230" s="2">
        <v>7.0999999999999994E-2</v>
      </c>
      <c r="I230" s="2">
        <v>12</v>
      </c>
      <c r="J230" s="2">
        <v>85.9</v>
      </c>
      <c r="K230" s="2">
        <v>0.37</v>
      </c>
      <c r="L230" s="2">
        <v>0</v>
      </c>
      <c r="M230" s="2">
        <v>3.8</v>
      </c>
      <c r="N230" s="2">
        <v>570963.31000000006</v>
      </c>
      <c r="O230" s="2">
        <v>87342.25</v>
      </c>
      <c r="P230" s="2">
        <v>0</v>
      </c>
      <c r="Q230" s="2">
        <v>0</v>
      </c>
      <c r="R230" s="2" t="s">
        <v>126</v>
      </c>
    </row>
    <row r="231" spans="1:18" ht="15" customHeight="1">
      <c r="A231" s="2">
        <v>230</v>
      </c>
      <c r="B231" s="2" t="s">
        <v>83</v>
      </c>
      <c r="C231" s="2" t="s">
        <v>18</v>
      </c>
      <c r="D231" s="2" t="s">
        <v>16</v>
      </c>
      <c r="E231" s="2" t="s">
        <v>22</v>
      </c>
      <c r="F231" s="2">
        <v>113736</v>
      </c>
      <c r="G231" s="2">
        <v>8961</v>
      </c>
      <c r="H231" s="2">
        <v>0.20200000000000001</v>
      </c>
      <c r="I231" s="2">
        <v>24</v>
      </c>
      <c r="J231" s="2">
        <v>86.2</v>
      </c>
      <c r="K231" s="2">
        <v>21.63</v>
      </c>
      <c r="L231" s="2">
        <v>0</v>
      </c>
      <c r="M231" s="2">
        <v>4</v>
      </c>
      <c r="N231" s="2">
        <v>870937.4</v>
      </c>
      <c r="O231" s="2">
        <v>175282.74</v>
      </c>
      <c r="P231" s="2">
        <v>0</v>
      </c>
      <c r="Q231" s="2">
        <v>0</v>
      </c>
      <c r="R231" s="2" t="s">
        <v>126</v>
      </c>
    </row>
    <row r="232" spans="1:18" ht="15" customHeight="1">
      <c r="A232" s="2">
        <v>231</v>
      </c>
      <c r="B232" s="2" t="s">
        <v>83</v>
      </c>
      <c r="C232" s="2" t="s">
        <v>19</v>
      </c>
      <c r="D232" s="2" t="s">
        <v>16</v>
      </c>
      <c r="E232" s="2" t="s">
        <v>22</v>
      </c>
      <c r="F232" s="2">
        <v>33173.949999999997</v>
      </c>
      <c r="G232" s="2">
        <v>6545</v>
      </c>
      <c r="H232" s="2">
        <v>0.16900000000000001</v>
      </c>
      <c r="I232" s="2">
        <v>15</v>
      </c>
      <c r="J232" s="2">
        <v>84.4</v>
      </c>
      <c r="K232" s="2">
        <v>2.48</v>
      </c>
      <c r="L232" s="2">
        <v>0</v>
      </c>
      <c r="M232" s="2">
        <v>3.9</v>
      </c>
      <c r="N232" s="2">
        <v>596969.27</v>
      </c>
      <c r="O232" s="2">
        <v>105669.51</v>
      </c>
      <c r="P232" s="2">
        <v>0</v>
      </c>
      <c r="Q232" s="2">
        <v>0</v>
      </c>
      <c r="R232" s="2" t="s">
        <v>126</v>
      </c>
    </row>
    <row r="233" spans="1:18" ht="15" customHeight="1">
      <c r="A233" s="2">
        <v>232</v>
      </c>
      <c r="B233" s="2" t="s">
        <v>83</v>
      </c>
      <c r="C233" s="2" t="s">
        <v>20</v>
      </c>
      <c r="D233" s="2" t="s">
        <v>16</v>
      </c>
      <c r="E233" s="2" t="s">
        <v>22</v>
      </c>
      <c r="F233" s="2">
        <v>25818.080000000002</v>
      </c>
      <c r="G233" s="2">
        <v>5457</v>
      </c>
      <c r="H233" s="2">
        <v>0</v>
      </c>
      <c r="I233" s="2">
        <v>11</v>
      </c>
      <c r="J233" s="2">
        <v>95.4</v>
      </c>
      <c r="K233" s="2">
        <v>3.3650000000000002</v>
      </c>
      <c r="L233" s="2">
        <v>0</v>
      </c>
      <c r="M233" s="2">
        <v>3.7</v>
      </c>
      <c r="N233" s="2">
        <v>647512.85</v>
      </c>
      <c r="O233" s="2">
        <v>153835.57</v>
      </c>
      <c r="P233" s="2">
        <v>0</v>
      </c>
      <c r="Q233" s="2">
        <v>1</v>
      </c>
      <c r="R233" s="2" t="s">
        <v>128</v>
      </c>
    </row>
    <row r="234" spans="1:18" ht="15" customHeight="1">
      <c r="A234" s="2">
        <v>233</v>
      </c>
      <c r="B234" s="2" t="s">
        <v>84</v>
      </c>
      <c r="C234" s="2" t="s">
        <v>15</v>
      </c>
      <c r="D234" s="2" t="s">
        <v>31</v>
      </c>
      <c r="E234" s="2" t="s">
        <v>17</v>
      </c>
      <c r="F234" s="2">
        <v>47241.919999999998</v>
      </c>
      <c r="G234" s="2">
        <v>4264</v>
      </c>
      <c r="H234" s="2">
        <v>6.9000000000000006E-2</v>
      </c>
      <c r="I234" s="2">
        <v>13</v>
      </c>
      <c r="J234" s="2">
        <v>95.3</v>
      </c>
      <c r="K234" s="2">
        <v>0.85</v>
      </c>
      <c r="L234" s="2">
        <v>0</v>
      </c>
      <c r="M234" s="2">
        <v>4.3</v>
      </c>
      <c r="N234" s="2">
        <v>658072.14</v>
      </c>
      <c r="O234" s="2">
        <v>110595.89</v>
      </c>
      <c r="P234" s="2">
        <v>0</v>
      </c>
      <c r="Q234" s="2">
        <v>0</v>
      </c>
      <c r="R234" s="2" t="s">
        <v>126</v>
      </c>
    </row>
    <row r="235" spans="1:18" ht="15" customHeight="1">
      <c r="A235" s="2">
        <v>234</v>
      </c>
      <c r="B235" s="2" t="s">
        <v>84</v>
      </c>
      <c r="C235" s="2" t="s">
        <v>18</v>
      </c>
      <c r="D235" s="2" t="s">
        <v>31</v>
      </c>
      <c r="E235" s="2" t="s">
        <v>17</v>
      </c>
      <c r="F235" s="2">
        <v>61650.79</v>
      </c>
      <c r="G235" s="2">
        <v>5321</v>
      </c>
      <c r="H235" s="2">
        <v>0.126</v>
      </c>
      <c r="I235" s="2">
        <v>17</v>
      </c>
      <c r="J235" s="2">
        <v>89.2</v>
      </c>
      <c r="K235" s="2">
        <v>2.13</v>
      </c>
      <c r="L235" s="2">
        <v>0</v>
      </c>
      <c r="M235" s="2">
        <v>4</v>
      </c>
      <c r="N235" s="2">
        <v>723305.11</v>
      </c>
      <c r="O235" s="2">
        <v>128468.7</v>
      </c>
      <c r="P235" s="2">
        <v>0</v>
      </c>
      <c r="Q235" s="2">
        <v>0</v>
      </c>
      <c r="R235" s="2" t="s">
        <v>126</v>
      </c>
    </row>
    <row r="236" spans="1:18" ht="15" customHeight="1">
      <c r="A236" s="2">
        <v>235</v>
      </c>
      <c r="B236" s="2" t="s">
        <v>84</v>
      </c>
      <c r="C236" s="2" t="s">
        <v>19</v>
      </c>
      <c r="D236" s="2" t="s">
        <v>31</v>
      </c>
      <c r="E236" s="2" t="s">
        <v>17</v>
      </c>
      <c r="F236" s="2">
        <v>62582.71</v>
      </c>
      <c r="G236" s="2">
        <v>5479</v>
      </c>
      <c r="H236" s="2">
        <v>4.8000000000000001E-2</v>
      </c>
      <c r="I236" s="2">
        <v>16</v>
      </c>
      <c r="J236" s="2">
        <v>81.2</v>
      </c>
      <c r="K236" s="2">
        <v>1.46</v>
      </c>
      <c r="L236" s="2">
        <v>0</v>
      </c>
      <c r="M236" s="2">
        <v>4.5</v>
      </c>
      <c r="N236" s="2">
        <v>640666.53</v>
      </c>
      <c r="O236" s="2">
        <v>134919.16</v>
      </c>
      <c r="P236" s="2">
        <v>0</v>
      </c>
      <c r="Q236" s="2">
        <v>0</v>
      </c>
      <c r="R236" s="2" t="s">
        <v>126</v>
      </c>
    </row>
    <row r="237" spans="1:18" ht="15" customHeight="1">
      <c r="A237" s="2">
        <v>236</v>
      </c>
      <c r="B237" s="2" t="s">
        <v>84</v>
      </c>
      <c r="C237" s="2" t="s">
        <v>20</v>
      </c>
      <c r="D237" s="2" t="s">
        <v>31</v>
      </c>
      <c r="E237" s="2" t="s">
        <v>17</v>
      </c>
      <c r="F237" s="2">
        <v>47944.14</v>
      </c>
      <c r="G237" s="2">
        <v>6169</v>
      </c>
      <c r="H237" s="2">
        <v>0.11899999999999999</v>
      </c>
      <c r="I237" s="2">
        <v>17</v>
      </c>
      <c r="J237" s="2">
        <v>92.2</v>
      </c>
      <c r="K237" s="2">
        <v>3.02</v>
      </c>
      <c r="L237" s="2">
        <v>0</v>
      </c>
      <c r="M237" s="2">
        <v>4.0999999999999996</v>
      </c>
      <c r="N237" s="2">
        <v>670629.48</v>
      </c>
      <c r="O237" s="2">
        <v>100140.8</v>
      </c>
      <c r="P237" s="2">
        <v>0</v>
      </c>
      <c r="Q237" s="2">
        <v>0</v>
      </c>
      <c r="R237" s="2" t="s">
        <v>126</v>
      </c>
    </row>
    <row r="238" spans="1:18" ht="15" customHeight="1">
      <c r="A238" s="2">
        <v>237</v>
      </c>
      <c r="B238" s="2" t="s">
        <v>85</v>
      </c>
      <c r="C238" s="2" t="s">
        <v>15</v>
      </c>
      <c r="D238" s="2" t="s">
        <v>31</v>
      </c>
      <c r="E238" s="2" t="s">
        <v>32</v>
      </c>
      <c r="F238" s="2">
        <v>46495.4</v>
      </c>
      <c r="G238" s="2">
        <v>9908</v>
      </c>
      <c r="H238" s="2">
        <v>0.121</v>
      </c>
      <c r="I238" s="2">
        <v>22</v>
      </c>
      <c r="J238" s="2">
        <v>89.4</v>
      </c>
      <c r="K238" s="2">
        <v>3.22</v>
      </c>
      <c r="L238" s="2">
        <v>0</v>
      </c>
      <c r="M238" s="2">
        <v>3.7</v>
      </c>
      <c r="N238" s="2">
        <v>721079.35</v>
      </c>
      <c r="O238" s="2">
        <v>115295.05</v>
      </c>
      <c r="P238" s="2">
        <v>0</v>
      </c>
      <c r="Q238" s="2">
        <v>0</v>
      </c>
      <c r="R238" s="2" t="s">
        <v>126</v>
      </c>
    </row>
    <row r="239" spans="1:18" ht="15" customHeight="1">
      <c r="A239" s="2">
        <v>238</v>
      </c>
      <c r="B239" s="2" t="s">
        <v>85</v>
      </c>
      <c r="C239" s="2" t="s">
        <v>18</v>
      </c>
      <c r="D239" s="2" t="s">
        <v>31</v>
      </c>
      <c r="E239" s="2" t="s">
        <v>32</v>
      </c>
      <c r="F239" s="2">
        <v>72961.95</v>
      </c>
      <c r="G239" s="2">
        <v>9996</v>
      </c>
      <c r="H239" s="2">
        <v>0.106</v>
      </c>
      <c r="I239" s="2">
        <v>22</v>
      </c>
      <c r="J239" s="2">
        <v>89.1</v>
      </c>
      <c r="K239" s="2">
        <v>15.66</v>
      </c>
      <c r="L239" s="2">
        <v>0</v>
      </c>
      <c r="M239" s="2">
        <v>3.4</v>
      </c>
      <c r="N239" s="2">
        <v>810355.02</v>
      </c>
      <c r="O239" s="2">
        <v>131510</v>
      </c>
      <c r="P239" s="2">
        <v>0</v>
      </c>
      <c r="Q239" s="2">
        <v>0</v>
      </c>
      <c r="R239" s="2" t="s">
        <v>126</v>
      </c>
    </row>
    <row r="240" spans="1:18" ht="15" customHeight="1">
      <c r="A240" s="2">
        <v>239</v>
      </c>
      <c r="B240" s="2" t="s">
        <v>85</v>
      </c>
      <c r="C240" s="2" t="s">
        <v>19</v>
      </c>
      <c r="D240" s="2" t="s">
        <v>31</v>
      </c>
      <c r="E240" s="2" t="s">
        <v>32</v>
      </c>
      <c r="F240" s="2">
        <v>59060.05</v>
      </c>
      <c r="G240" s="2">
        <v>9702</v>
      </c>
      <c r="H240" s="2">
        <v>0.20100000000000001</v>
      </c>
      <c r="I240" s="2">
        <v>23</v>
      </c>
      <c r="J240" s="2">
        <v>80.900000000000006</v>
      </c>
      <c r="K240" s="2">
        <v>6.96</v>
      </c>
      <c r="L240" s="2">
        <v>0</v>
      </c>
      <c r="M240" s="2">
        <v>3.2</v>
      </c>
      <c r="N240" s="2">
        <v>761919.25</v>
      </c>
      <c r="O240" s="2">
        <v>111893.06</v>
      </c>
      <c r="P240" s="2">
        <v>0</v>
      </c>
      <c r="Q240" s="2">
        <v>0</v>
      </c>
      <c r="R240" s="2" t="s">
        <v>126</v>
      </c>
    </row>
    <row r="241" spans="1:18" ht="15" customHeight="1">
      <c r="A241" s="2">
        <v>240</v>
      </c>
      <c r="B241" s="2" t="s">
        <v>85</v>
      </c>
      <c r="C241" s="2" t="s">
        <v>20</v>
      </c>
      <c r="D241" s="2" t="s">
        <v>31</v>
      </c>
      <c r="E241" s="2" t="s">
        <v>32</v>
      </c>
      <c r="F241" s="2">
        <v>26248.1</v>
      </c>
      <c r="G241" s="2">
        <v>9314</v>
      </c>
      <c r="H241" s="2">
        <v>0.186</v>
      </c>
      <c r="I241" s="2">
        <v>21</v>
      </c>
      <c r="J241" s="2">
        <v>83.7</v>
      </c>
      <c r="K241" s="2">
        <v>4.62</v>
      </c>
      <c r="L241" s="2">
        <v>0</v>
      </c>
      <c r="M241" s="2">
        <v>3.3</v>
      </c>
      <c r="N241" s="2">
        <v>737070.18</v>
      </c>
      <c r="O241" s="2">
        <v>117593.97</v>
      </c>
      <c r="P241" s="2">
        <v>0</v>
      </c>
      <c r="Q241" s="2">
        <v>0</v>
      </c>
      <c r="R241" s="2" t="s">
        <v>126</v>
      </c>
    </row>
    <row r="242" spans="1:18" ht="15" customHeight="1">
      <c r="A242" s="2">
        <v>241</v>
      </c>
      <c r="B242" s="2" t="s">
        <v>86</v>
      </c>
      <c r="C242" s="2" t="s">
        <v>15</v>
      </c>
      <c r="D242" s="2" t="s">
        <v>28</v>
      </c>
      <c r="E242" s="2" t="s">
        <v>25</v>
      </c>
      <c r="F242" s="2">
        <v>69900.12</v>
      </c>
      <c r="G242" s="2">
        <v>8055</v>
      </c>
      <c r="H242" s="2">
        <v>0.28100000000000003</v>
      </c>
      <c r="I242" s="2">
        <v>22</v>
      </c>
      <c r="J242" s="2">
        <v>85.6</v>
      </c>
      <c r="K242" s="2">
        <v>10.68</v>
      </c>
      <c r="L242" s="2">
        <v>1</v>
      </c>
      <c r="M242" s="2">
        <v>2.9</v>
      </c>
      <c r="N242" s="2">
        <v>776992.93</v>
      </c>
      <c r="O242" s="2">
        <v>101598.32</v>
      </c>
      <c r="P242" s="2">
        <v>0</v>
      </c>
      <c r="Q242" s="2">
        <v>0</v>
      </c>
      <c r="R242" s="2" t="s">
        <v>126</v>
      </c>
    </row>
    <row r="243" spans="1:18" ht="15" customHeight="1">
      <c r="A243" s="2">
        <v>242</v>
      </c>
      <c r="B243" s="2" t="s">
        <v>86</v>
      </c>
      <c r="C243" s="2" t="s">
        <v>18</v>
      </c>
      <c r="D243" s="2" t="s">
        <v>28</v>
      </c>
      <c r="E243" s="2" t="s">
        <v>25</v>
      </c>
      <c r="F243" s="2">
        <v>51781.599999999999</v>
      </c>
      <c r="G243" s="2">
        <v>5648</v>
      </c>
      <c r="H243" s="2">
        <v>5.8999999999999997E-2</v>
      </c>
      <c r="I243" s="2">
        <v>13</v>
      </c>
      <c r="J243" s="2">
        <v>85.5</v>
      </c>
      <c r="K243" s="2">
        <v>4.04</v>
      </c>
      <c r="L243" s="2">
        <v>0</v>
      </c>
      <c r="M243" s="2">
        <v>3.7</v>
      </c>
      <c r="N243" s="2">
        <v>676337.41</v>
      </c>
      <c r="O243" s="2">
        <v>104355.77</v>
      </c>
      <c r="P243" s="2">
        <v>0</v>
      </c>
      <c r="Q243" s="2">
        <v>0</v>
      </c>
      <c r="R243" s="2" t="s">
        <v>126</v>
      </c>
    </row>
    <row r="244" spans="1:18" ht="15" customHeight="1">
      <c r="A244" s="2">
        <v>243</v>
      </c>
      <c r="B244" s="2" t="s">
        <v>86</v>
      </c>
      <c r="C244" s="2" t="s">
        <v>19</v>
      </c>
      <c r="D244" s="2" t="s">
        <v>28</v>
      </c>
      <c r="E244" s="2" t="s">
        <v>25</v>
      </c>
      <c r="F244" s="2">
        <v>70799.64</v>
      </c>
      <c r="G244" s="2">
        <v>10076</v>
      </c>
      <c r="H244" s="2">
        <v>0.152</v>
      </c>
      <c r="I244" s="2">
        <v>24</v>
      </c>
      <c r="J244" s="2">
        <v>84.8</v>
      </c>
      <c r="K244" s="2">
        <v>1.87</v>
      </c>
      <c r="L244" s="2">
        <v>0</v>
      </c>
      <c r="M244" s="2">
        <v>3.5</v>
      </c>
      <c r="N244" s="2">
        <v>828219.67</v>
      </c>
      <c r="O244" s="2">
        <v>179806.87</v>
      </c>
      <c r="P244" s="2">
        <v>0</v>
      </c>
      <c r="Q244" s="2">
        <v>0</v>
      </c>
      <c r="R244" s="2" t="s">
        <v>126</v>
      </c>
    </row>
    <row r="245" spans="1:18" ht="15" customHeight="1">
      <c r="A245" s="2">
        <v>244</v>
      </c>
      <c r="B245" s="2" t="s">
        <v>86</v>
      </c>
      <c r="C245" s="2" t="s">
        <v>20</v>
      </c>
      <c r="D245" s="2" t="s">
        <v>28</v>
      </c>
      <c r="E245" s="2" t="s">
        <v>25</v>
      </c>
      <c r="F245" s="2">
        <v>53546.34</v>
      </c>
      <c r="G245" s="2">
        <v>8004</v>
      </c>
      <c r="H245" s="2">
        <v>0</v>
      </c>
      <c r="I245" s="2">
        <v>21</v>
      </c>
      <c r="J245" s="2">
        <v>95.2</v>
      </c>
      <c r="K245" s="2">
        <v>2.83</v>
      </c>
      <c r="L245" s="2">
        <v>0</v>
      </c>
      <c r="M245" s="2">
        <v>3</v>
      </c>
      <c r="N245" s="2">
        <v>763159.92</v>
      </c>
      <c r="O245" s="2">
        <v>177104.87</v>
      </c>
      <c r="P245" s="2">
        <v>0</v>
      </c>
      <c r="Q245" s="2">
        <v>0</v>
      </c>
      <c r="R245" s="2" t="s">
        <v>126</v>
      </c>
    </row>
    <row r="246" spans="1:18" ht="15" customHeight="1">
      <c r="A246" s="2">
        <v>245</v>
      </c>
      <c r="B246" s="2" t="s">
        <v>87</v>
      </c>
      <c r="C246" s="2" t="s">
        <v>15</v>
      </c>
      <c r="D246" s="2" t="s">
        <v>16</v>
      </c>
      <c r="E246" s="2" t="s">
        <v>22</v>
      </c>
      <c r="F246" s="2">
        <v>76942.2</v>
      </c>
      <c r="G246" s="2">
        <v>8934</v>
      </c>
      <c r="H246" s="2">
        <v>8.4000000000000005E-2</v>
      </c>
      <c r="I246" s="2">
        <v>20</v>
      </c>
      <c r="J246" s="2">
        <v>91</v>
      </c>
      <c r="K246" s="2">
        <v>0.95</v>
      </c>
      <c r="L246" s="2">
        <v>0</v>
      </c>
      <c r="M246" s="2">
        <v>3.2</v>
      </c>
      <c r="N246" s="2">
        <v>802001.68</v>
      </c>
      <c r="O246" s="2">
        <v>159715.82</v>
      </c>
      <c r="P246" s="2">
        <v>0</v>
      </c>
      <c r="Q246" s="2">
        <v>0</v>
      </c>
      <c r="R246" s="2" t="s">
        <v>126</v>
      </c>
    </row>
    <row r="247" spans="1:18" ht="15" customHeight="1">
      <c r="A247" s="2">
        <v>246</v>
      </c>
      <c r="B247" s="2" t="s">
        <v>87</v>
      </c>
      <c r="C247" s="2" t="s">
        <v>18</v>
      </c>
      <c r="D247" s="2" t="s">
        <v>16</v>
      </c>
      <c r="E247" s="2" t="s">
        <v>22</v>
      </c>
      <c r="F247" s="2">
        <v>48060.78</v>
      </c>
      <c r="G247" s="2">
        <v>8733</v>
      </c>
      <c r="H247" s="2">
        <v>0</v>
      </c>
      <c r="I247" s="2">
        <v>20</v>
      </c>
      <c r="J247" s="2">
        <v>89.9</v>
      </c>
      <c r="K247" s="2">
        <v>0.8</v>
      </c>
      <c r="L247" s="2">
        <v>0</v>
      </c>
      <c r="M247" s="2">
        <v>3.4</v>
      </c>
      <c r="N247" s="2">
        <v>750471.34</v>
      </c>
      <c r="O247" s="2">
        <v>133788.04</v>
      </c>
      <c r="P247" s="2">
        <v>0</v>
      </c>
      <c r="Q247" s="2">
        <v>0</v>
      </c>
      <c r="R247" s="2" t="s">
        <v>126</v>
      </c>
    </row>
    <row r="248" spans="1:18" ht="15" customHeight="1">
      <c r="A248" s="2">
        <v>247</v>
      </c>
      <c r="B248" s="2" t="s">
        <v>87</v>
      </c>
      <c r="C248" s="2" t="s">
        <v>19</v>
      </c>
      <c r="D248" s="2" t="s">
        <v>16</v>
      </c>
      <c r="E248" s="2" t="s">
        <v>22</v>
      </c>
      <c r="F248" s="2">
        <v>57390.04</v>
      </c>
      <c r="G248" s="2">
        <v>7374</v>
      </c>
      <c r="H248" s="2">
        <v>0.21</v>
      </c>
      <c r="I248" s="2">
        <v>21</v>
      </c>
      <c r="J248" s="2">
        <v>91.8</v>
      </c>
      <c r="K248" s="2">
        <v>0.2</v>
      </c>
      <c r="L248" s="2">
        <v>0</v>
      </c>
      <c r="M248" s="2">
        <v>3.1</v>
      </c>
      <c r="N248" s="2">
        <v>679230.86</v>
      </c>
      <c r="O248" s="2">
        <v>106927.58</v>
      </c>
      <c r="P248" s="2">
        <v>0</v>
      </c>
      <c r="Q248" s="2">
        <v>0</v>
      </c>
      <c r="R248" s="2" t="s">
        <v>126</v>
      </c>
    </row>
    <row r="249" spans="1:18" ht="15" customHeight="1">
      <c r="A249" s="2">
        <v>248</v>
      </c>
      <c r="B249" s="2" t="s">
        <v>87</v>
      </c>
      <c r="C249" s="2" t="s">
        <v>20</v>
      </c>
      <c r="D249" s="2" t="s">
        <v>16</v>
      </c>
      <c r="E249" s="2" t="s">
        <v>22</v>
      </c>
      <c r="F249" s="2">
        <v>21536.18</v>
      </c>
      <c r="G249" s="2">
        <v>8119</v>
      </c>
      <c r="H249" s="2">
        <v>0.22700000000000001</v>
      </c>
      <c r="I249" s="2">
        <v>20</v>
      </c>
      <c r="J249" s="2">
        <v>90.4</v>
      </c>
      <c r="K249" s="2">
        <v>1.7</v>
      </c>
      <c r="L249" s="2">
        <v>0</v>
      </c>
      <c r="M249" s="2">
        <v>3.3</v>
      </c>
      <c r="N249" s="2">
        <v>679888.74</v>
      </c>
      <c r="O249" s="2">
        <v>83406.89</v>
      </c>
      <c r="P249" s="2">
        <v>0</v>
      </c>
      <c r="Q249" s="2">
        <v>0</v>
      </c>
      <c r="R249" s="2" t="s">
        <v>126</v>
      </c>
    </row>
    <row r="250" spans="1:18" ht="15" customHeight="1">
      <c r="A250" s="2">
        <v>249</v>
      </c>
      <c r="B250" s="2" t="s">
        <v>88</v>
      </c>
      <c r="C250" s="2" t="s">
        <v>15</v>
      </c>
      <c r="D250" s="2" t="s">
        <v>24</v>
      </c>
      <c r="E250" s="2" t="s">
        <v>22</v>
      </c>
      <c r="F250" s="2">
        <v>40923.67</v>
      </c>
      <c r="G250" s="2">
        <v>3875</v>
      </c>
      <c r="H250" s="2">
        <v>0.15</v>
      </c>
      <c r="I250" s="2">
        <v>10</v>
      </c>
      <c r="J250" s="2">
        <v>96.1</v>
      </c>
      <c r="K250" s="2">
        <v>3.3650000000000002</v>
      </c>
      <c r="L250" s="2">
        <v>0</v>
      </c>
      <c r="M250" s="2">
        <v>3.8</v>
      </c>
      <c r="N250" s="2">
        <v>606783.67000000004</v>
      </c>
      <c r="O250" s="2">
        <v>74515.87</v>
      </c>
      <c r="P250" s="2">
        <v>0</v>
      </c>
      <c r="Q250" s="2">
        <v>1</v>
      </c>
      <c r="R250" s="2" t="s">
        <v>128</v>
      </c>
    </row>
    <row r="251" spans="1:18" ht="15" customHeight="1">
      <c r="A251" s="2">
        <v>250</v>
      </c>
      <c r="B251" s="2" t="s">
        <v>88</v>
      </c>
      <c r="C251" s="2" t="s">
        <v>18</v>
      </c>
      <c r="D251" s="2" t="s">
        <v>24</v>
      </c>
      <c r="E251" s="2" t="s">
        <v>22</v>
      </c>
      <c r="F251" s="2">
        <v>72932.55</v>
      </c>
      <c r="G251" s="2">
        <v>5765</v>
      </c>
      <c r="H251" s="2">
        <v>2.5999999999999999E-2</v>
      </c>
      <c r="I251" s="2">
        <v>17</v>
      </c>
      <c r="J251" s="2">
        <v>81.8</v>
      </c>
      <c r="K251" s="2">
        <v>5.0999999999999996</v>
      </c>
      <c r="L251" s="2">
        <v>0</v>
      </c>
      <c r="M251" s="2">
        <v>3.6</v>
      </c>
      <c r="N251" s="2">
        <v>642751.42000000004</v>
      </c>
      <c r="O251" s="2">
        <v>131942.15</v>
      </c>
      <c r="P251" s="2">
        <v>0</v>
      </c>
      <c r="Q251" s="2">
        <v>0</v>
      </c>
      <c r="R251" s="2" t="s">
        <v>126</v>
      </c>
    </row>
    <row r="252" spans="1:18" ht="15" customHeight="1">
      <c r="A252" s="2">
        <v>251</v>
      </c>
      <c r="B252" s="2" t="s">
        <v>88</v>
      </c>
      <c r="C252" s="2" t="s">
        <v>19</v>
      </c>
      <c r="D252" s="2" t="s">
        <v>24</v>
      </c>
      <c r="E252" s="2" t="s">
        <v>22</v>
      </c>
      <c r="F252" s="2">
        <v>38361.93</v>
      </c>
      <c r="G252" s="2">
        <v>6322</v>
      </c>
      <c r="H252" s="2">
        <v>0.27300000000000002</v>
      </c>
      <c r="I252" s="2">
        <v>15</v>
      </c>
      <c r="J252" s="2">
        <v>88.4</v>
      </c>
      <c r="K252" s="2">
        <v>0.83</v>
      </c>
      <c r="L252" s="2">
        <v>0</v>
      </c>
      <c r="M252" s="2">
        <v>4</v>
      </c>
      <c r="N252" s="2">
        <v>647953.78</v>
      </c>
      <c r="O252" s="2">
        <v>118497.43</v>
      </c>
      <c r="P252" s="2">
        <v>0</v>
      </c>
      <c r="Q252" s="2">
        <v>0</v>
      </c>
      <c r="R252" s="2" t="s">
        <v>126</v>
      </c>
    </row>
    <row r="253" spans="1:18" ht="15" customHeight="1">
      <c r="A253" s="2">
        <v>252</v>
      </c>
      <c r="B253" s="2" t="s">
        <v>88</v>
      </c>
      <c r="C253" s="2" t="s">
        <v>20</v>
      </c>
      <c r="D253" s="2" t="s">
        <v>24</v>
      </c>
      <c r="E253" s="2" t="s">
        <v>22</v>
      </c>
      <c r="F253" s="2">
        <v>97480.94</v>
      </c>
      <c r="G253" s="2">
        <v>6840</v>
      </c>
      <c r="H253" s="2">
        <v>8.6999999999999994E-2</v>
      </c>
      <c r="I253" s="2">
        <v>14</v>
      </c>
      <c r="J253" s="2">
        <v>79.2</v>
      </c>
      <c r="K253" s="2">
        <v>1.1399999999999999</v>
      </c>
      <c r="L253" s="2">
        <v>0</v>
      </c>
      <c r="M253" s="2">
        <v>4</v>
      </c>
      <c r="N253" s="2">
        <v>729440.45</v>
      </c>
      <c r="O253" s="2">
        <v>87614.29</v>
      </c>
      <c r="P253" s="2">
        <v>0</v>
      </c>
      <c r="Q253" s="2">
        <v>0</v>
      </c>
      <c r="R253" s="2" t="s">
        <v>126</v>
      </c>
    </row>
    <row r="254" spans="1:18" ht="15" customHeight="1">
      <c r="A254" s="2">
        <v>253</v>
      </c>
      <c r="B254" s="2" t="s">
        <v>89</v>
      </c>
      <c r="C254" s="2" t="s">
        <v>15</v>
      </c>
      <c r="D254" s="2" t="s">
        <v>28</v>
      </c>
      <c r="E254" s="2" t="s">
        <v>25</v>
      </c>
      <c r="F254" s="2">
        <v>81801.8</v>
      </c>
      <c r="G254" s="2">
        <v>6782</v>
      </c>
      <c r="H254" s="2">
        <v>0.05</v>
      </c>
      <c r="I254" s="2">
        <v>16</v>
      </c>
      <c r="J254" s="2">
        <v>99</v>
      </c>
      <c r="K254" s="2">
        <v>9.5399999999999991</v>
      </c>
      <c r="L254" s="2">
        <v>0</v>
      </c>
      <c r="M254" s="2">
        <v>3.7</v>
      </c>
      <c r="N254" s="2">
        <v>764949</v>
      </c>
      <c r="O254" s="2">
        <v>148322.43</v>
      </c>
      <c r="P254" s="2">
        <v>0</v>
      </c>
      <c r="Q254" s="2">
        <v>0</v>
      </c>
      <c r="R254" s="2" t="s">
        <v>126</v>
      </c>
    </row>
    <row r="255" spans="1:18" ht="15" customHeight="1">
      <c r="A255" s="2">
        <v>254</v>
      </c>
      <c r="B255" s="2" t="s">
        <v>89</v>
      </c>
      <c r="C255" s="2" t="s">
        <v>18</v>
      </c>
      <c r="D255" s="2" t="s">
        <v>28</v>
      </c>
      <c r="E255" s="2" t="s">
        <v>25</v>
      </c>
      <c r="F255" s="2">
        <v>63582.11</v>
      </c>
      <c r="G255" s="2">
        <v>6856</v>
      </c>
      <c r="H255" s="2">
        <v>7.3999999999999996E-2</v>
      </c>
      <c r="I255" s="2">
        <v>17</v>
      </c>
      <c r="J255" s="2">
        <v>89.5</v>
      </c>
      <c r="K255" s="2">
        <v>5.48</v>
      </c>
      <c r="L255" s="2">
        <v>0</v>
      </c>
      <c r="M255" s="2">
        <v>3.2</v>
      </c>
      <c r="N255" s="2">
        <v>799046.94</v>
      </c>
      <c r="O255" s="2">
        <v>144553.64000000001</v>
      </c>
      <c r="P255" s="2">
        <v>0</v>
      </c>
      <c r="Q255" s="2">
        <v>0</v>
      </c>
      <c r="R255" s="2" t="s">
        <v>126</v>
      </c>
    </row>
    <row r="256" spans="1:18" ht="15" customHeight="1">
      <c r="A256" s="2">
        <v>255</v>
      </c>
      <c r="B256" s="2" t="s">
        <v>89</v>
      </c>
      <c r="C256" s="2" t="s">
        <v>19</v>
      </c>
      <c r="D256" s="2" t="s">
        <v>28</v>
      </c>
      <c r="E256" s="2" t="s">
        <v>25</v>
      </c>
      <c r="F256" s="2">
        <v>75412.740000000005</v>
      </c>
      <c r="G256" s="2">
        <v>5641</v>
      </c>
      <c r="H256" s="2">
        <v>5.8999999999999997E-2</v>
      </c>
      <c r="I256" s="2">
        <v>13</v>
      </c>
      <c r="J256" s="2">
        <v>87.9</v>
      </c>
      <c r="K256" s="2">
        <v>0.84</v>
      </c>
      <c r="L256" s="2">
        <v>0</v>
      </c>
      <c r="M256" s="2">
        <v>3.6</v>
      </c>
      <c r="N256" s="2">
        <v>720079.54</v>
      </c>
      <c r="O256" s="2">
        <v>119499.47</v>
      </c>
      <c r="P256" s="2">
        <v>0</v>
      </c>
      <c r="Q256" s="2">
        <v>0</v>
      </c>
      <c r="R256" s="2" t="s">
        <v>126</v>
      </c>
    </row>
    <row r="257" spans="1:18" ht="15" customHeight="1">
      <c r="A257" s="2">
        <v>256</v>
      </c>
      <c r="B257" s="2" t="s">
        <v>89</v>
      </c>
      <c r="C257" s="2" t="s">
        <v>20</v>
      </c>
      <c r="D257" s="2" t="s">
        <v>28</v>
      </c>
      <c r="E257" s="2" t="s">
        <v>25</v>
      </c>
      <c r="F257" s="2">
        <v>36290.080000000002</v>
      </c>
      <c r="G257" s="2">
        <v>5787</v>
      </c>
      <c r="H257" s="2">
        <v>0</v>
      </c>
      <c r="I257" s="2">
        <v>17</v>
      </c>
      <c r="J257" s="2">
        <v>88.3</v>
      </c>
      <c r="K257" s="2">
        <v>4.1900000000000004</v>
      </c>
      <c r="L257" s="2">
        <v>0</v>
      </c>
      <c r="M257" s="2">
        <v>4.0999999999999996</v>
      </c>
      <c r="N257" s="2">
        <v>612390.14</v>
      </c>
      <c r="O257" s="2">
        <v>108985.74</v>
      </c>
      <c r="P257" s="2">
        <v>0</v>
      </c>
      <c r="Q257" s="2">
        <v>0</v>
      </c>
      <c r="R257" s="2" t="s">
        <v>126</v>
      </c>
    </row>
    <row r="258" spans="1:18" ht="15" customHeight="1">
      <c r="A258" s="2">
        <v>257</v>
      </c>
      <c r="B258" s="2" t="s">
        <v>90</v>
      </c>
      <c r="C258" s="2" t="s">
        <v>15</v>
      </c>
      <c r="D258" s="2" t="s">
        <v>28</v>
      </c>
      <c r="E258" s="2" t="s">
        <v>32</v>
      </c>
      <c r="F258" s="2">
        <v>65272.58</v>
      </c>
      <c r="G258" s="2">
        <v>8165</v>
      </c>
      <c r="H258" s="2">
        <v>5.0999999999999997E-2</v>
      </c>
      <c r="I258" s="2">
        <v>19</v>
      </c>
      <c r="J258" s="2">
        <v>87.8</v>
      </c>
      <c r="K258" s="2">
        <v>1.26</v>
      </c>
      <c r="L258" s="2">
        <v>1</v>
      </c>
      <c r="M258" s="2">
        <v>4.3</v>
      </c>
      <c r="N258" s="2">
        <v>840108.12</v>
      </c>
      <c r="O258" s="2">
        <v>126587.01</v>
      </c>
      <c r="P258" s="2">
        <v>0</v>
      </c>
      <c r="Q258" s="2">
        <v>0</v>
      </c>
      <c r="R258" s="2" t="s">
        <v>126</v>
      </c>
    </row>
    <row r="259" spans="1:18" ht="15" customHeight="1">
      <c r="A259" s="2">
        <v>258</v>
      </c>
      <c r="B259" s="2" t="s">
        <v>90</v>
      </c>
      <c r="C259" s="2" t="s">
        <v>18</v>
      </c>
      <c r="D259" s="2" t="s">
        <v>28</v>
      </c>
      <c r="E259" s="2" t="s">
        <v>32</v>
      </c>
      <c r="F259" s="2">
        <v>28670.43</v>
      </c>
      <c r="G259" s="2">
        <v>7574</v>
      </c>
      <c r="H259" s="2">
        <v>0.114</v>
      </c>
      <c r="I259" s="2">
        <v>19</v>
      </c>
      <c r="J259" s="2">
        <v>82.7</v>
      </c>
      <c r="K259" s="2">
        <v>2.74</v>
      </c>
      <c r="L259" s="2">
        <v>0</v>
      </c>
      <c r="M259" s="2">
        <v>4.5999999999999996</v>
      </c>
      <c r="N259" s="2">
        <v>697888.09</v>
      </c>
      <c r="O259" s="2">
        <v>116249.87</v>
      </c>
      <c r="P259" s="2">
        <v>0</v>
      </c>
      <c r="Q259" s="2">
        <v>0</v>
      </c>
      <c r="R259" s="2" t="s">
        <v>126</v>
      </c>
    </row>
    <row r="260" spans="1:18" ht="15" customHeight="1">
      <c r="A260" s="2">
        <v>259</v>
      </c>
      <c r="B260" s="2" t="s">
        <v>90</v>
      </c>
      <c r="C260" s="2" t="s">
        <v>19</v>
      </c>
      <c r="D260" s="2" t="s">
        <v>28</v>
      </c>
      <c r="E260" s="2" t="s">
        <v>32</v>
      </c>
      <c r="F260" s="2">
        <v>44189.34</v>
      </c>
      <c r="G260" s="2">
        <v>8634</v>
      </c>
      <c r="H260" s="2">
        <v>0.14299999999999999</v>
      </c>
      <c r="I260" s="2">
        <v>19</v>
      </c>
      <c r="J260" s="2">
        <v>87.5</v>
      </c>
      <c r="K260" s="2">
        <v>3.69</v>
      </c>
      <c r="L260" s="2">
        <v>0</v>
      </c>
      <c r="M260" s="2">
        <v>4.4000000000000004</v>
      </c>
      <c r="N260" s="2">
        <v>746115.59</v>
      </c>
      <c r="O260" s="2">
        <v>94662.96</v>
      </c>
      <c r="P260" s="2">
        <v>0</v>
      </c>
      <c r="Q260" s="2">
        <v>0</v>
      </c>
      <c r="R260" s="2" t="s">
        <v>126</v>
      </c>
    </row>
    <row r="261" spans="1:18" ht="15" customHeight="1">
      <c r="A261" s="2">
        <v>260</v>
      </c>
      <c r="B261" s="2" t="s">
        <v>90</v>
      </c>
      <c r="C261" s="2" t="s">
        <v>20</v>
      </c>
      <c r="D261" s="2" t="s">
        <v>28</v>
      </c>
      <c r="E261" s="2" t="s">
        <v>32</v>
      </c>
      <c r="F261" s="2">
        <v>38397.82</v>
      </c>
      <c r="G261" s="2">
        <v>7836</v>
      </c>
      <c r="H261" s="2">
        <v>7.0000000000000001E-3</v>
      </c>
      <c r="I261" s="2">
        <v>21</v>
      </c>
      <c r="J261" s="2">
        <v>92.2</v>
      </c>
      <c r="K261" s="2">
        <v>1.82</v>
      </c>
      <c r="L261" s="2">
        <v>0</v>
      </c>
      <c r="M261" s="2">
        <v>3.6</v>
      </c>
      <c r="N261" s="2">
        <v>776110.32</v>
      </c>
      <c r="O261" s="2">
        <v>139676.21</v>
      </c>
      <c r="P261" s="2">
        <v>0</v>
      </c>
      <c r="Q261" s="2">
        <v>0</v>
      </c>
      <c r="R261" s="2" t="s">
        <v>126</v>
      </c>
    </row>
    <row r="262" spans="1:18" ht="15" customHeight="1">
      <c r="A262" s="2">
        <v>261</v>
      </c>
      <c r="B262" s="2" t="s">
        <v>91</v>
      </c>
      <c r="C262" s="2" t="s">
        <v>15</v>
      </c>
      <c r="D262" s="2" t="s">
        <v>31</v>
      </c>
      <c r="E262" s="2" t="s">
        <v>22</v>
      </c>
      <c r="F262" s="2">
        <v>14519.37</v>
      </c>
      <c r="G262" s="2">
        <v>3047</v>
      </c>
      <c r="H262" s="2">
        <v>0.13500000000000001</v>
      </c>
      <c r="I262" s="2">
        <v>10</v>
      </c>
      <c r="J262" s="2">
        <v>90.3</v>
      </c>
      <c r="K262" s="2">
        <v>6.62</v>
      </c>
      <c r="L262" s="2">
        <v>0</v>
      </c>
      <c r="M262" s="2">
        <v>4.2</v>
      </c>
      <c r="N262" s="2">
        <v>528852.62</v>
      </c>
      <c r="O262" s="2">
        <v>68426.210000000006</v>
      </c>
      <c r="P262" s="2">
        <v>0</v>
      </c>
      <c r="Q262" s="2">
        <v>0</v>
      </c>
      <c r="R262" s="2" t="s">
        <v>126</v>
      </c>
    </row>
    <row r="263" spans="1:18" ht="15" customHeight="1">
      <c r="A263" s="2">
        <v>262</v>
      </c>
      <c r="B263" s="2" t="s">
        <v>91</v>
      </c>
      <c r="C263" s="2" t="s">
        <v>18</v>
      </c>
      <c r="D263" s="2" t="s">
        <v>31</v>
      </c>
      <c r="E263" s="2" t="s">
        <v>22</v>
      </c>
      <c r="F263" s="2">
        <v>43288.2</v>
      </c>
      <c r="G263" s="2">
        <v>4783</v>
      </c>
      <c r="H263" s="2">
        <v>0.16900000000000001</v>
      </c>
      <c r="I263" s="2">
        <v>13</v>
      </c>
      <c r="J263" s="2">
        <v>87.3</v>
      </c>
      <c r="K263" s="2">
        <v>3.3650000000000002</v>
      </c>
      <c r="L263" s="2">
        <v>0</v>
      </c>
      <c r="M263" s="2">
        <v>4.2</v>
      </c>
      <c r="N263" s="2">
        <v>605751.32999999996</v>
      </c>
      <c r="O263" s="2">
        <v>60685.53</v>
      </c>
      <c r="P263" s="2">
        <v>0</v>
      </c>
      <c r="Q263" s="2">
        <v>1</v>
      </c>
      <c r="R263" s="2" t="s">
        <v>128</v>
      </c>
    </row>
    <row r="264" spans="1:18" ht="15" customHeight="1">
      <c r="A264" s="2">
        <v>263</v>
      </c>
      <c r="B264" s="2" t="s">
        <v>91</v>
      </c>
      <c r="C264" s="2" t="s">
        <v>19</v>
      </c>
      <c r="D264" s="2" t="s">
        <v>31</v>
      </c>
      <c r="E264" s="2" t="s">
        <v>22</v>
      </c>
      <c r="F264" s="2">
        <v>51450.55</v>
      </c>
      <c r="G264" s="2">
        <v>4902</v>
      </c>
      <c r="H264" s="2">
        <v>8.5999999999999993E-2</v>
      </c>
      <c r="I264" s="2">
        <v>11</v>
      </c>
      <c r="J264" s="2">
        <v>83.7</v>
      </c>
      <c r="K264" s="2">
        <v>6.92</v>
      </c>
      <c r="L264" s="2">
        <v>1</v>
      </c>
      <c r="M264" s="2">
        <v>4.2</v>
      </c>
      <c r="N264" s="2">
        <v>677640.65</v>
      </c>
      <c r="O264" s="2">
        <v>111610.89</v>
      </c>
      <c r="P264" s="2">
        <v>0</v>
      </c>
      <c r="Q264" s="2">
        <v>0</v>
      </c>
      <c r="R264" s="2" t="s">
        <v>126</v>
      </c>
    </row>
    <row r="265" spans="1:18" ht="15" customHeight="1">
      <c r="A265" s="2">
        <v>264</v>
      </c>
      <c r="B265" s="2" t="s">
        <v>91</v>
      </c>
      <c r="C265" s="2" t="s">
        <v>20</v>
      </c>
      <c r="D265" s="2" t="s">
        <v>31</v>
      </c>
      <c r="E265" s="2" t="s">
        <v>22</v>
      </c>
      <c r="F265" s="2">
        <v>58688.26</v>
      </c>
      <c r="G265" s="2">
        <v>4022</v>
      </c>
      <c r="H265" s="2">
        <v>0.217</v>
      </c>
      <c r="I265" s="2">
        <v>12</v>
      </c>
      <c r="J265" s="2">
        <v>93.8</v>
      </c>
      <c r="K265" s="2">
        <v>11.78</v>
      </c>
      <c r="L265" s="2">
        <v>0</v>
      </c>
      <c r="M265" s="2">
        <v>3.7</v>
      </c>
      <c r="N265" s="2">
        <v>636613.23</v>
      </c>
      <c r="O265" s="2">
        <v>78908.350000000006</v>
      </c>
      <c r="P265" s="2">
        <v>0</v>
      </c>
      <c r="Q265" s="2">
        <v>0</v>
      </c>
      <c r="R265" s="2" t="s">
        <v>126</v>
      </c>
    </row>
    <row r="266" spans="1:18" ht="15" customHeight="1">
      <c r="A266" s="2">
        <v>265</v>
      </c>
      <c r="B266" s="2" t="s">
        <v>92</v>
      </c>
      <c r="C266" s="2" t="s">
        <v>15</v>
      </c>
      <c r="D266" s="2" t="s">
        <v>16</v>
      </c>
      <c r="E266" s="2" t="s">
        <v>22</v>
      </c>
      <c r="F266" s="2">
        <v>58981.91</v>
      </c>
      <c r="G266" s="2">
        <v>7324</v>
      </c>
      <c r="H266" s="2">
        <v>9.4E-2</v>
      </c>
      <c r="I266" s="2">
        <v>15</v>
      </c>
      <c r="J266" s="2">
        <v>95.8</v>
      </c>
      <c r="K266" s="2">
        <v>0.5</v>
      </c>
      <c r="L266" s="2">
        <v>0</v>
      </c>
      <c r="M266" s="2">
        <v>3.5</v>
      </c>
      <c r="N266" s="2">
        <v>708985.19</v>
      </c>
      <c r="O266" s="2">
        <v>125368.16</v>
      </c>
      <c r="P266" s="2">
        <v>0</v>
      </c>
      <c r="Q266" s="2">
        <v>0</v>
      </c>
      <c r="R266" s="2" t="s">
        <v>126</v>
      </c>
    </row>
    <row r="267" spans="1:18" ht="15" customHeight="1">
      <c r="A267" s="2">
        <v>266</v>
      </c>
      <c r="B267" s="2" t="s">
        <v>92</v>
      </c>
      <c r="C267" s="2" t="s">
        <v>18</v>
      </c>
      <c r="D267" s="2" t="s">
        <v>16</v>
      </c>
      <c r="E267" s="2" t="s">
        <v>22</v>
      </c>
      <c r="F267" s="2">
        <v>73454.539999999994</v>
      </c>
      <c r="G267" s="2">
        <v>8129</v>
      </c>
      <c r="H267" s="2">
        <v>0.21099999999999999</v>
      </c>
      <c r="I267" s="2">
        <v>20</v>
      </c>
      <c r="J267" s="2">
        <v>85.2</v>
      </c>
      <c r="K267" s="2">
        <v>0.88</v>
      </c>
      <c r="L267" s="2">
        <v>0</v>
      </c>
      <c r="M267" s="2">
        <v>3.7</v>
      </c>
      <c r="N267" s="2">
        <v>767792.94</v>
      </c>
      <c r="O267" s="2">
        <v>96235.77</v>
      </c>
      <c r="P267" s="2">
        <v>0</v>
      </c>
      <c r="Q267" s="2">
        <v>0</v>
      </c>
      <c r="R267" s="2" t="s">
        <v>126</v>
      </c>
    </row>
    <row r="268" spans="1:18" ht="15" customHeight="1">
      <c r="A268" s="2">
        <v>267</v>
      </c>
      <c r="B268" s="2" t="s">
        <v>92</v>
      </c>
      <c r="C268" s="2" t="s">
        <v>19</v>
      </c>
      <c r="D268" s="2" t="s">
        <v>16</v>
      </c>
      <c r="E268" s="2" t="s">
        <v>22</v>
      </c>
      <c r="F268" s="2">
        <v>56602.39</v>
      </c>
      <c r="G268" s="2">
        <v>7969</v>
      </c>
      <c r="H268" s="2">
        <v>0.17</v>
      </c>
      <c r="I268" s="2">
        <v>21</v>
      </c>
      <c r="J268" s="2">
        <v>88.3</v>
      </c>
      <c r="K268" s="2">
        <v>2.25</v>
      </c>
      <c r="L268" s="2">
        <v>0</v>
      </c>
      <c r="M268" s="2">
        <v>3.7</v>
      </c>
      <c r="N268" s="2">
        <v>745580.51</v>
      </c>
      <c r="O268" s="2">
        <v>116273.68</v>
      </c>
      <c r="P268" s="2">
        <v>0</v>
      </c>
      <c r="Q268" s="2">
        <v>0</v>
      </c>
      <c r="R268" s="2" t="s">
        <v>126</v>
      </c>
    </row>
    <row r="269" spans="1:18" ht="15" customHeight="1">
      <c r="A269" s="2">
        <v>268</v>
      </c>
      <c r="B269" s="2" t="s">
        <v>92</v>
      </c>
      <c r="C269" s="2" t="s">
        <v>20</v>
      </c>
      <c r="D269" s="2" t="s">
        <v>16</v>
      </c>
      <c r="E269" s="2" t="s">
        <v>22</v>
      </c>
      <c r="F269" s="2">
        <v>67722.289999999994</v>
      </c>
      <c r="G269" s="2">
        <v>7240</v>
      </c>
      <c r="H269" s="2">
        <v>2.5999999999999999E-2</v>
      </c>
      <c r="I269" s="2">
        <v>15</v>
      </c>
      <c r="J269" s="2">
        <v>92.9</v>
      </c>
      <c r="K269" s="2">
        <v>0.28999999999999998</v>
      </c>
      <c r="L269" s="2">
        <v>0</v>
      </c>
      <c r="M269" s="2">
        <v>3.5</v>
      </c>
      <c r="N269" s="2">
        <v>762328.31</v>
      </c>
      <c r="O269" s="2">
        <v>159158.19</v>
      </c>
      <c r="P269" s="2">
        <v>0</v>
      </c>
      <c r="Q269" s="2">
        <v>0</v>
      </c>
      <c r="R269" s="2" t="s">
        <v>126</v>
      </c>
    </row>
    <row r="270" spans="1:18" ht="15" customHeight="1">
      <c r="A270" s="2">
        <v>269</v>
      </c>
      <c r="B270" s="2" t="s">
        <v>93</v>
      </c>
      <c r="C270" s="2" t="s">
        <v>15</v>
      </c>
      <c r="D270" s="2" t="s">
        <v>16</v>
      </c>
      <c r="E270" s="2" t="s">
        <v>32</v>
      </c>
      <c r="F270" s="2">
        <v>48752.92</v>
      </c>
      <c r="G270" s="2">
        <v>8052</v>
      </c>
      <c r="H270" s="2">
        <v>0.106</v>
      </c>
      <c r="I270" s="2">
        <v>16</v>
      </c>
      <c r="J270" s="2">
        <v>94.9</v>
      </c>
      <c r="K270" s="2">
        <v>0.65</v>
      </c>
      <c r="L270" s="2">
        <v>0</v>
      </c>
      <c r="M270" s="2">
        <v>3.6</v>
      </c>
      <c r="N270" s="2">
        <v>660633.99</v>
      </c>
      <c r="O270" s="2">
        <v>118768.66</v>
      </c>
      <c r="P270" s="2">
        <v>0</v>
      </c>
      <c r="Q270" s="2">
        <v>0</v>
      </c>
      <c r="R270" s="2" t="s">
        <v>126</v>
      </c>
    </row>
    <row r="271" spans="1:18" ht="15" customHeight="1">
      <c r="A271" s="2">
        <v>270</v>
      </c>
      <c r="B271" s="2" t="s">
        <v>93</v>
      </c>
      <c r="C271" s="2" t="s">
        <v>18</v>
      </c>
      <c r="D271" s="2" t="s">
        <v>16</v>
      </c>
      <c r="E271" s="2" t="s">
        <v>32</v>
      </c>
      <c r="F271" s="2">
        <v>23914.97</v>
      </c>
      <c r="G271" s="2">
        <v>8018</v>
      </c>
      <c r="H271" s="2">
        <v>0.13900000000000001</v>
      </c>
      <c r="I271" s="2">
        <v>20</v>
      </c>
      <c r="J271" s="2">
        <v>89</v>
      </c>
      <c r="K271" s="2">
        <v>0.2</v>
      </c>
      <c r="L271" s="2">
        <v>0</v>
      </c>
      <c r="M271" s="2">
        <v>3.5</v>
      </c>
      <c r="N271" s="2">
        <v>739374.56</v>
      </c>
      <c r="O271" s="2">
        <v>121032.29</v>
      </c>
      <c r="P271" s="2">
        <v>0</v>
      </c>
      <c r="Q271" s="2">
        <v>0</v>
      </c>
      <c r="R271" s="2" t="s">
        <v>126</v>
      </c>
    </row>
    <row r="272" spans="1:18" ht="15" customHeight="1">
      <c r="A272" s="2">
        <v>271</v>
      </c>
      <c r="B272" s="2" t="s">
        <v>93</v>
      </c>
      <c r="C272" s="2" t="s">
        <v>19</v>
      </c>
      <c r="D272" s="2" t="s">
        <v>16</v>
      </c>
      <c r="E272" s="2" t="s">
        <v>32</v>
      </c>
      <c r="F272" s="2">
        <v>61995.3</v>
      </c>
      <c r="G272" s="2">
        <v>10192</v>
      </c>
      <c r="H272" s="2">
        <v>0.19800000000000001</v>
      </c>
      <c r="I272" s="2">
        <v>21</v>
      </c>
      <c r="J272" s="2">
        <v>87.6</v>
      </c>
      <c r="K272" s="2">
        <v>3.63</v>
      </c>
      <c r="L272" s="2">
        <v>1</v>
      </c>
      <c r="M272" s="2">
        <v>3.8</v>
      </c>
      <c r="N272" s="2">
        <v>799756.46</v>
      </c>
      <c r="O272" s="2">
        <v>105052.93</v>
      </c>
      <c r="P272" s="2">
        <v>0</v>
      </c>
      <c r="Q272" s="2">
        <v>0</v>
      </c>
      <c r="R272" s="2" t="s">
        <v>126</v>
      </c>
    </row>
    <row r="273" spans="1:18" ht="15" customHeight="1">
      <c r="A273" s="2">
        <v>272</v>
      </c>
      <c r="B273" s="2" t="s">
        <v>93</v>
      </c>
      <c r="C273" s="2" t="s">
        <v>20</v>
      </c>
      <c r="D273" s="2" t="s">
        <v>16</v>
      </c>
      <c r="E273" s="2" t="s">
        <v>32</v>
      </c>
      <c r="F273" s="2">
        <v>29344.93</v>
      </c>
      <c r="G273" s="2">
        <v>7446</v>
      </c>
      <c r="H273" s="2">
        <v>0.111</v>
      </c>
      <c r="I273" s="2">
        <v>15</v>
      </c>
      <c r="J273" s="2">
        <v>86.2</v>
      </c>
      <c r="K273" s="2">
        <v>0.2</v>
      </c>
      <c r="L273" s="2">
        <v>0</v>
      </c>
      <c r="M273" s="2">
        <v>3.2</v>
      </c>
      <c r="N273" s="2">
        <v>593343</v>
      </c>
      <c r="O273" s="2">
        <v>82832.240000000005</v>
      </c>
      <c r="P273" s="2">
        <v>0</v>
      </c>
      <c r="Q273" s="2">
        <v>0</v>
      </c>
      <c r="R273" s="2" t="s">
        <v>126</v>
      </c>
    </row>
    <row r="274" spans="1:18" ht="15" customHeight="1">
      <c r="A274" s="2">
        <v>273</v>
      </c>
      <c r="B274" s="2" t="s">
        <v>94</v>
      </c>
      <c r="C274" s="2" t="s">
        <v>15</v>
      </c>
      <c r="D274" s="2" t="s">
        <v>31</v>
      </c>
      <c r="E274" s="2" t="s">
        <v>22</v>
      </c>
      <c r="F274" s="2">
        <v>50532.17</v>
      </c>
      <c r="G274" s="2">
        <v>5689</v>
      </c>
      <c r="H274" s="2">
        <v>5.1999999999999998E-2</v>
      </c>
      <c r="I274" s="2">
        <v>17</v>
      </c>
      <c r="J274" s="2">
        <v>85.6</v>
      </c>
      <c r="K274" s="2">
        <v>6.23</v>
      </c>
      <c r="L274" s="2">
        <v>0</v>
      </c>
      <c r="M274" s="2">
        <v>3.3</v>
      </c>
      <c r="N274" s="2">
        <v>645039.97</v>
      </c>
      <c r="O274" s="2">
        <v>83093.33</v>
      </c>
      <c r="P274" s="2">
        <v>0</v>
      </c>
      <c r="Q274" s="2">
        <v>0</v>
      </c>
      <c r="R274" s="2" t="s">
        <v>126</v>
      </c>
    </row>
    <row r="275" spans="1:18" ht="15" customHeight="1">
      <c r="A275" s="2">
        <v>274</v>
      </c>
      <c r="B275" s="2" t="s">
        <v>94</v>
      </c>
      <c r="C275" s="2" t="s">
        <v>18</v>
      </c>
      <c r="D275" s="2" t="s">
        <v>31</v>
      </c>
      <c r="E275" s="2" t="s">
        <v>22</v>
      </c>
      <c r="F275" s="2">
        <v>17562.57</v>
      </c>
      <c r="G275" s="2">
        <v>3326</v>
      </c>
      <c r="H275" s="2">
        <v>0.153</v>
      </c>
      <c r="I275" s="2">
        <v>14</v>
      </c>
      <c r="J275" s="2">
        <v>88.1</v>
      </c>
      <c r="K275" s="2">
        <v>1.04</v>
      </c>
      <c r="L275" s="2">
        <v>0</v>
      </c>
      <c r="M275" s="2">
        <v>3.1</v>
      </c>
      <c r="N275" s="2">
        <v>561597.32999999996</v>
      </c>
      <c r="O275" s="2">
        <v>75072.75</v>
      </c>
      <c r="P275" s="2">
        <v>0</v>
      </c>
      <c r="Q275" s="2">
        <v>0</v>
      </c>
      <c r="R275" s="2" t="s">
        <v>126</v>
      </c>
    </row>
    <row r="276" spans="1:18" ht="15" customHeight="1">
      <c r="A276" s="2">
        <v>275</v>
      </c>
      <c r="B276" s="2" t="s">
        <v>94</v>
      </c>
      <c r="C276" s="2" t="s">
        <v>19</v>
      </c>
      <c r="D276" s="2" t="s">
        <v>31</v>
      </c>
      <c r="E276" s="2" t="s">
        <v>22</v>
      </c>
      <c r="F276" s="2">
        <v>47648.71</v>
      </c>
      <c r="G276" s="2">
        <v>5767</v>
      </c>
      <c r="H276" s="2">
        <v>0.14099999999999999</v>
      </c>
      <c r="I276" s="2">
        <v>17</v>
      </c>
      <c r="J276" s="2">
        <v>89.8</v>
      </c>
      <c r="K276" s="2">
        <v>1.76</v>
      </c>
      <c r="L276" s="2">
        <v>0</v>
      </c>
      <c r="M276" s="2">
        <v>3.1</v>
      </c>
      <c r="N276" s="2">
        <v>635837.74</v>
      </c>
      <c r="O276" s="2">
        <v>114740.64</v>
      </c>
      <c r="P276" s="2">
        <v>0</v>
      </c>
      <c r="Q276" s="2">
        <v>0</v>
      </c>
      <c r="R276" s="2" t="s">
        <v>126</v>
      </c>
    </row>
    <row r="277" spans="1:18" ht="15" customHeight="1">
      <c r="A277" s="2">
        <v>276</v>
      </c>
      <c r="B277" s="2" t="s">
        <v>94</v>
      </c>
      <c r="C277" s="2" t="s">
        <v>20</v>
      </c>
      <c r="D277" s="2" t="s">
        <v>31</v>
      </c>
      <c r="E277" s="2" t="s">
        <v>22</v>
      </c>
      <c r="F277" s="2">
        <v>38297.58</v>
      </c>
      <c r="G277" s="2">
        <v>5893</v>
      </c>
      <c r="H277" s="2">
        <v>0.247</v>
      </c>
      <c r="I277" s="2">
        <v>18</v>
      </c>
      <c r="J277" s="2">
        <v>77.599999999999994</v>
      </c>
      <c r="K277" s="2">
        <v>2.86</v>
      </c>
      <c r="L277" s="2">
        <v>0</v>
      </c>
      <c r="M277" s="2">
        <v>3</v>
      </c>
      <c r="N277" s="2">
        <v>686737.87</v>
      </c>
      <c r="O277" s="2">
        <v>83839.67</v>
      </c>
      <c r="P277" s="2">
        <v>0</v>
      </c>
      <c r="Q277" s="2">
        <v>0</v>
      </c>
      <c r="R277" s="2" t="s">
        <v>126</v>
      </c>
    </row>
    <row r="278" spans="1:18" ht="15" customHeight="1">
      <c r="A278" s="2">
        <v>277</v>
      </c>
      <c r="B278" s="2" t="s">
        <v>95</v>
      </c>
      <c r="C278" s="2" t="s">
        <v>15</v>
      </c>
      <c r="D278" s="2" t="s">
        <v>28</v>
      </c>
      <c r="E278" s="2" t="s">
        <v>17</v>
      </c>
      <c r="F278" s="2">
        <v>61784.11</v>
      </c>
      <c r="G278" s="2">
        <v>8564</v>
      </c>
      <c r="H278" s="2">
        <v>0.13</v>
      </c>
      <c r="I278" s="2">
        <v>17</v>
      </c>
      <c r="J278" s="2">
        <v>87.4</v>
      </c>
      <c r="K278" s="2">
        <v>18.14</v>
      </c>
      <c r="L278" s="2">
        <v>1</v>
      </c>
      <c r="M278" s="2">
        <v>3.4</v>
      </c>
      <c r="N278" s="2">
        <v>673076.34</v>
      </c>
      <c r="O278" s="2">
        <v>93899.76</v>
      </c>
      <c r="P278" s="2">
        <v>0</v>
      </c>
      <c r="Q278" s="2">
        <v>0</v>
      </c>
      <c r="R278" s="2" t="s">
        <v>126</v>
      </c>
    </row>
    <row r="279" spans="1:18" ht="15" customHeight="1">
      <c r="A279" s="2">
        <v>278</v>
      </c>
      <c r="B279" s="2" t="s">
        <v>95</v>
      </c>
      <c r="C279" s="2" t="s">
        <v>18</v>
      </c>
      <c r="D279" s="2" t="s">
        <v>28</v>
      </c>
      <c r="E279" s="2" t="s">
        <v>17</v>
      </c>
      <c r="F279" s="2">
        <v>36832.33</v>
      </c>
      <c r="G279" s="2">
        <v>8001</v>
      </c>
      <c r="H279" s="2">
        <v>0</v>
      </c>
      <c r="I279" s="2">
        <v>19</v>
      </c>
      <c r="J279" s="2">
        <v>88.7</v>
      </c>
      <c r="K279" s="2">
        <v>3.39</v>
      </c>
      <c r="L279" s="2">
        <v>0</v>
      </c>
      <c r="M279" s="2">
        <v>4</v>
      </c>
      <c r="N279" s="2">
        <v>738548.42</v>
      </c>
      <c r="O279" s="2">
        <v>134282.76999999999</v>
      </c>
      <c r="P279" s="2">
        <v>0</v>
      </c>
      <c r="Q279" s="2">
        <v>0</v>
      </c>
      <c r="R279" s="2" t="s">
        <v>126</v>
      </c>
    </row>
    <row r="280" spans="1:18" ht="15" customHeight="1">
      <c r="A280" s="2">
        <v>279</v>
      </c>
      <c r="B280" s="2" t="s">
        <v>95</v>
      </c>
      <c r="C280" s="2" t="s">
        <v>19</v>
      </c>
      <c r="D280" s="2" t="s">
        <v>28</v>
      </c>
      <c r="E280" s="2" t="s">
        <v>17</v>
      </c>
      <c r="F280" s="2">
        <v>48609.41</v>
      </c>
      <c r="G280" s="2">
        <v>9324</v>
      </c>
      <c r="H280" s="2">
        <v>0.21299999999999999</v>
      </c>
      <c r="I280" s="2">
        <v>18</v>
      </c>
      <c r="J280" s="2">
        <v>86.5</v>
      </c>
      <c r="K280" s="2">
        <v>1.44</v>
      </c>
      <c r="L280" s="2">
        <v>0</v>
      </c>
      <c r="M280" s="2">
        <v>3.9</v>
      </c>
      <c r="N280" s="2">
        <v>756619.77</v>
      </c>
      <c r="O280" s="2">
        <v>112057.69</v>
      </c>
      <c r="P280" s="2">
        <v>0</v>
      </c>
      <c r="Q280" s="2">
        <v>0</v>
      </c>
      <c r="R280" s="2" t="s">
        <v>126</v>
      </c>
    </row>
    <row r="281" spans="1:18" ht="15" customHeight="1">
      <c r="A281" s="2">
        <v>280</v>
      </c>
      <c r="B281" s="2" t="s">
        <v>95</v>
      </c>
      <c r="C281" s="2" t="s">
        <v>20</v>
      </c>
      <c r="D281" s="2" t="s">
        <v>28</v>
      </c>
      <c r="E281" s="2" t="s">
        <v>17</v>
      </c>
      <c r="F281" s="2">
        <v>70284.06</v>
      </c>
      <c r="G281" s="2">
        <v>9109</v>
      </c>
      <c r="H281" s="2">
        <v>4.0000000000000001E-3</v>
      </c>
      <c r="I281" s="2">
        <v>23</v>
      </c>
      <c r="J281" s="2">
        <v>87</v>
      </c>
      <c r="K281" s="2">
        <v>3.65</v>
      </c>
      <c r="L281" s="2">
        <v>0</v>
      </c>
      <c r="M281" s="2">
        <v>3.7</v>
      </c>
      <c r="N281" s="2">
        <v>761122.42</v>
      </c>
      <c r="O281" s="2">
        <v>149802.04</v>
      </c>
      <c r="P281" s="2">
        <v>0</v>
      </c>
      <c r="Q281" s="2">
        <v>0</v>
      </c>
      <c r="R281" s="2" t="s">
        <v>126</v>
      </c>
    </row>
    <row r="282" spans="1:18" ht="15" customHeight="1">
      <c r="A282" s="2">
        <v>281</v>
      </c>
      <c r="B282" s="2" t="s">
        <v>96</v>
      </c>
      <c r="C282" s="2" t="s">
        <v>15</v>
      </c>
      <c r="D282" s="2" t="s">
        <v>28</v>
      </c>
      <c r="E282" s="2" t="s">
        <v>22</v>
      </c>
      <c r="F282" s="2">
        <v>45940.39</v>
      </c>
      <c r="G282" s="2">
        <v>4022</v>
      </c>
      <c r="H282" s="2">
        <v>6.9000000000000006E-2</v>
      </c>
      <c r="I282" s="2">
        <v>10</v>
      </c>
      <c r="J282" s="2">
        <v>83</v>
      </c>
      <c r="K282" s="2">
        <v>1.23</v>
      </c>
      <c r="L282" s="2">
        <v>1</v>
      </c>
      <c r="M282" s="2">
        <v>3.8</v>
      </c>
      <c r="N282" s="2">
        <v>524899.56999999995</v>
      </c>
      <c r="O282" s="2">
        <v>63619.98</v>
      </c>
      <c r="P282" s="2">
        <v>0</v>
      </c>
      <c r="Q282" s="2">
        <v>0</v>
      </c>
      <c r="R282" s="2" t="s">
        <v>126</v>
      </c>
    </row>
    <row r="283" spans="1:18" ht="15" customHeight="1">
      <c r="A283" s="2">
        <v>282</v>
      </c>
      <c r="B283" s="2" t="s">
        <v>96</v>
      </c>
      <c r="C283" s="2" t="s">
        <v>18</v>
      </c>
      <c r="D283" s="2" t="s">
        <v>28</v>
      </c>
      <c r="E283" s="2" t="s">
        <v>22</v>
      </c>
      <c r="F283" s="2">
        <v>34771.26</v>
      </c>
      <c r="G283" s="2">
        <v>4355</v>
      </c>
      <c r="H283" s="2">
        <v>5.0999999999999997E-2</v>
      </c>
      <c r="I283" s="2">
        <v>15</v>
      </c>
      <c r="J283" s="2">
        <v>87.9</v>
      </c>
      <c r="K283" s="2">
        <v>3.09</v>
      </c>
      <c r="L283" s="2">
        <v>0</v>
      </c>
      <c r="M283" s="2">
        <v>4</v>
      </c>
      <c r="N283" s="2">
        <v>555557.77</v>
      </c>
      <c r="O283" s="2">
        <v>86475.51</v>
      </c>
      <c r="P283" s="2">
        <v>0</v>
      </c>
      <c r="Q283" s="2">
        <v>0</v>
      </c>
      <c r="R283" s="2" t="s">
        <v>126</v>
      </c>
    </row>
    <row r="284" spans="1:18" ht="15" customHeight="1">
      <c r="A284" s="2">
        <v>283</v>
      </c>
      <c r="B284" s="2" t="s">
        <v>96</v>
      </c>
      <c r="C284" s="2" t="s">
        <v>19</v>
      </c>
      <c r="D284" s="2" t="s">
        <v>28</v>
      </c>
      <c r="E284" s="2" t="s">
        <v>22</v>
      </c>
      <c r="F284" s="2">
        <v>66104.19</v>
      </c>
      <c r="G284" s="2">
        <v>5745</v>
      </c>
      <c r="H284" s="2">
        <v>7.0000000000000007E-2</v>
      </c>
      <c r="I284" s="2">
        <v>17</v>
      </c>
      <c r="J284" s="2">
        <v>95.8</v>
      </c>
      <c r="K284" s="2">
        <v>3.15</v>
      </c>
      <c r="L284" s="2">
        <v>0</v>
      </c>
      <c r="M284" s="2">
        <v>4</v>
      </c>
      <c r="N284" s="2">
        <v>714083.68</v>
      </c>
      <c r="O284" s="2">
        <v>127231.74</v>
      </c>
      <c r="P284" s="2">
        <v>0</v>
      </c>
      <c r="Q284" s="2">
        <v>0</v>
      </c>
      <c r="R284" s="2" t="s">
        <v>126</v>
      </c>
    </row>
    <row r="285" spans="1:18" ht="15" customHeight="1">
      <c r="A285" s="2">
        <v>284</v>
      </c>
      <c r="B285" s="2" t="s">
        <v>96</v>
      </c>
      <c r="C285" s="2" t="s">
        <v>20</v>
      </c>
      <c r="D285" s="2" t="s">
        <v>28</v>
      </c>
      <c r="E285" s="2" t="s">
        <v>22</v>
      </c>
      <c r="F285" s="2">
        <v>18599.21</v>
      </c>
      <c r="G285" s="2">
        <v>3027</v>
      </c>
      <c r="H285" s="2">
        <v>0.122</v>
      </c>
      <c r="I285" s="2">
        <v>11</v>
      </c>
      <c r="J285" s="2">
        <v>80.900000000000006</v>
      </c>
      <c r="K285" s="2">
        <v>6.44</v>
      </c>
      <c r="L285" s="2">
        <v>0</v>
      </c>
      <c r="M285" s="2">
        <v>4.2</v>
      </c>
      <c r="N285" s="2">
        <v>497439.82</v>
      </c>
      <c r="O285" s="2">
        <v>93372.75</v>
      </c>
      <c r="P285" s="2">
        <v>0</v>
      </c>
      <c r="Q285" s="2">
        <v>0</v>
      </c>
      <c r="R285" s="2" t="s">
        <v>126</v>
      </c>
    </row>
    <row r="286" spans="1:18" ht="15" customHeight="1">
      <c r="A286" s="2">
        <v>285</v>
      </c>
      <c r="B286" s="2" t="s">
        <v>97</v>
      </c>
      <c r="C286" s="2" t="s">
        <v>15</v>
      </c>
      <c r="D286" s="2" t="s">
        <v>31</v>
      </c>
      <c r="E286" s="2" t="s">
        <v>17</v>
      </c>
      <c r="F286" s="2">
        <v>60183.06</v>
      </c>
      <c r="G286" s="2">
        <v>5562</v>
      </c>
      <c r="H286" s="2">
        <v>8.9999999999999993E-3</v>
      </c>
      <c r="I286" s="2">
        <v>13</v>
      </c>
      <c r="J286" s="2">
        <v>86.3</v>
      </c>
      <c r="K286" s="2">
        <v>0.2</v>
      </c>
      <c r="L286" s="2">
        <v>1</v>
      </c>
      <c r="M286" s="2">
        <v>4.5</v>
      </c>
      <c r="N286" s="2">
        <v>636775.66</v>
      </c>
      <c r="O286" s="2">
        <v>122636.86</v>
      </c>
      <c r="P286" s="2">
        <v>0</v>
      </c>
      <c r="Q286" s="2">
        <v>0</v>
      </c>
      <c r="R286" s="2" t="s">
        <v>126</v>
      </c>
    </row>
    <row r="287" spans="1:18" ht="15" customHeight="1">
      <c r="A287" s="2">
        <v>286</v>
      </c>
      <c r="B287" s="2" t="s">
        <v>97</v>
      </c>
      <c r="C287" s="2" t="s">
        <v>18</v>
      </c>
      <c r="D287" s="2" t="s">
        <v>31</v>
      </c>
      <c r="E287" s="2" t="s">
        <v>17</v>
      </c>
      <c r="F287" s="2">
        <v>74539.14</v>
      </c>
      <c r="G287" s="2">
        <v>4487</v>
      </c>
      <c r="H287" s="2">
        <v>0.14000000000000001</v>
      </c>
      <c r="I287" s="2">
        <v>10</v>
      </c>
      <c r="J287" s="2">
        <v>90.4</v>
      </c>
      <c r="K287" s="2">
        <v>0.59</v>
      </c>
      <c r="L287" s="2">
        <v>0</v>
      </c>
      <c r="M287" s="2">
        <v>4.5</v>
      </c>
      <c r="N287" s="2">
        <v>633009.53</v>
      </c>
      <c r="O287" s="2">
        <v>123782.67</v>
      </c>
      <c r="P287" s="2">
        <v>0</v>
      </c>
      <c r="Q287" s="2">
        <v>0</v>
      </c>
      <c r="R287" s="2" t="s">
        <v>126</v>
      </c>
    </row>
    <row r="288" spans="1:18" ht="15" customHeight="1">
      <c r="A288" s="2">
        <v>287</v>
      </c>
      <c r="B288" s="2" t="s">
        <v>97</v>
      </c>
      <c r="C288" s="2" t="s">
        <v>19</v>
      </c>
      <c r="D288" s="2" t="s">
        <v>31</v>
      </c>
      <c r="E288" s="2" t="s">
        <v>17</v>
      </c>
      <c r="F288" s="2">
        <v>55371.97</v>
      </c>
      <c r="G288" s="2">
        <v>4162</v>
      </c>
      <c r="H288" s="2">
        <v>0.183</v>
      </c>
      <c r="I288" s="2">
        <v>11</v>
      </c>
      <c r="J288" s="2">
        <v>92</v>
      </c>
      <c r="K288" s="2">
        <v>0.2</v>
      </c>
      <c r="L288" s="2">
        <v>1</v>
      </c>
      <c r="M288" s="2">
        <v>4.2</v>
      </c>
      <c r="N288" s="2">
        <v>609949</v>
      </c>
      <c r="O288" s="2">
        <v>126789.25</v>
      </c>
      <c r="P288" s="2">
        <v>0</v>
      </c>
      <c r="Q288" s="2">
        <v>0</v>
      </c>
      <c r="R288" s="2" t="s">
        <v>126</v>
      </c>
    </row>
    <row r="289" spans="1:18" ht="15" customHeight="1">
      <c r="A289" s="2">
        <v>288</v>
      </c>
      <c r="B289" s="2" t="s">
        <v>97</v>
      </c>
      <c r="C289" s="2" t="s">
        <v>20</v>
      </c>
      <c r="D289" s="2" t="s">
        <v>31</v>
      </c>
      <c r="E289" s="2" t="s">
        <v>17</v>
      </c>
      <c r="F289" s="2">
        <v>40928.69</v>
      </c>
      <c r="G289" s="2">
        <v>4094</v>
      </c>
      <c r="H289" s="2">
        <v>0.17399999999999999</v>
      </c>
      <c r="I289" s="2">
        <v>13</v>
      </c>
      <c r="J289" s="2">
        <v>82.4</v>
      </c>
      <c r="K289" s="2">
        <v>1.36</v>
      </c>
      <c r="L289" s="2">
        <v>0</v>
      </c>
      <c r="M289" s="2">
        <v>4.8</v>
      </c>
      <c r="N289" s="2">
        <v>548103.69999999995</v>
      </c>
      <c r="O289" s="2">
        <v>99905.52</v>
      </c>
      <c r="P289" s="2">
        <v>0</v>
      </c>
      <c r="Q289" s="2">
        <v>0</v>
      </c>
      <c r="R289" s="2" t="s">
        <v>126</v>
      </c>
    </row>
    <row r="290" spans="1:18" ht="15" customHeight="1">
      <c r="A290" s="2">
        <v>289</v>
      </c>
      <c r="B290" s="2" t="s">
        <v>98</v>
      </c>
      <c r="C290" s="2" t="s">
        <v>15</v>
      </c>
      <c r="D290" s="2" t="s">
        <v>16</v>
      </c>
      <c r="E290" s="2" t="s">
        <v>17</v>
      </c>
      <c r="F290" s="2">
        <v>70012.41</v>
      </c>
      <c r="G290" s="2">
        <v>8484</v>
      </c>
      <c r="H290" s="2">
        <v>0.27300000000000002</v>
      </c>
      <c r="I290" s="2">
        <v>23</v>
      </c>
      <c r="J290" s="2">
        <v>72.900000000000006</v>
      </c>
      <c r="K290" s="2">
        <v>3.34</v>
      </c>
      <c r="L290" s="2">
        <v>0</v>
      </c>
      <c r="M290" s="2">
        <v>3.7</v>
      </c>
      <c r="N290" s="2">
        <v>729424.42</v>
      </c>
      <c r="O290" s="2">
        <v>75592.28</v>
      </c>
      <c r="P290" s="2">
        <v>0</v>
      </c>
      <c r="Q290" s="2">
        <v>0</v>
      </c>
      <c r="R290" s="2" t="s">
        <v>126</v>
      </c>
    </row>
    <row r="291" spans="1:18" ht="15" customHeight="1">
      <c r="A291" s="2">
        <v>290</v>
      </c>
      <c r="B291" s="2" t="s">
        <v>98</v>
      </c>
      <c r="C291" s="2" t="s">
        <v>18</v>
      </c>
      <c r="D291" s="2" t="s">
        <v>16</v>
      </c>
      <c r="E291" s="2" t="s">
        <v>17</v>
      </c>
      <c r="F291" s="2">
        <v>68909.259999999995</v>
      </c>
      <c r="G291" s="2">
        <v>7794</v>
      </c>
      <c r="H291" s="2">
        <v>0.28399999999999997</v>
      </c>
      <c r="I291" s="2">
        <v>22</v>
      </c>
      <c r="J291" s="2">
        <v>89</v>
      </c>
      <c r="K291" s="2">
        <v>0.33</v>
      </c>
      <c r="L291" s="2">
        <v>0</v>
      </c>
      <c r="M291" s="2">
        <v>4</v>
      </c>
      <c r="N291" s="2">
        <v>696261.49</v>
      </c>
      <c r="O291" s="2">
        <v>72455.350000000006</v>
      </c>
      <c r="P291" s="2">
        <v>0</v>
      </c>
      <c r="Q291" s="2">
        <v>0</v>
      </c>
      <c r="R291" s="2" t="s">
        <v>126</v>
      </c>
    </row>
    <row r="292" spans="1:18" ht="15" customHeight="1">
      <c r="A292" s="2">
        <v>291</v>
      </c>
      <c r="B292" s="2" t="s">
        <v>98</v>
      </c>
      <c r="C292" s="2" t="s">
        <v>19</v>
      </c>
      <c r="D292" s="2" t="s">
        <v>16</v>
      </c>
      <c r="E292" s="2" t="s">
        <v>17</v>
      </c>
      <c r="F292" s="2">
        <v>56737.3</v>
      </c>
      <c r="G292" s="2">
        <v>8300</v>
      </c>
      <c r="H292" s="2">
        <v>3.2000000000000001E-2</v>
      </c>
      <c r="I292" s="2">
        <v>21</v>
      </c>
      <c r="J292" s="2">
        <v>83.2</v>
      </c>
      <c r="K292" s="2">
        <v>3.44</v>
      </c>
      <c r="L292" s="2">
        <v>1</v>
      </c>
      <c r="M292" s="2">
        <v>4.3</v>
      </c>
      <c r="N292" s="2">
        <v>813316.71</v>
      </c>
      <c r="O292" s="2">
        <v>110077.42</v>
      </c>
      <c r="P292" s="2">
        <v>0</v>
      </c>
      <c r="Q292" s="2">
        <v>0</v>
      </c>
      <c r="R292" s="2" t="s">
        <v>126</v>
      </c>
    </row>
    <row r="293" spans="1:18" ht="15" customHeight="1">
      <c r="A293" s="2">
        <v>292</v>
      </c>
      <c r="B293" s="2" t="s">
        <v>98</v>
      </c>
      <c r="C293" s="2" t="s">
        <v>20</v>
      </c>
      <c r="D293" s="2" t="s">
        <v>16</v>
      </c>
      <c r="E293" s="2" t="s">
        <v>17</v>
      </c>
      <c r="F293" s="2">
        <v>54080.91</v>
      </c>
      <c r="G293" s="2">
        <v>7083</v>
      </c>
      <c r="H293" s="2">
        <v>0</v>
      </c>
      <c r="I293" s="2">
        <v>15</v>
      </c>
      <c r="J293" s="2">
        <v>97</v>
      </c>
      <c r="K293" s="2">
        <v>5.33</v>
      </c>
      <c r="L293" s="2">
        <v>0</v>
      </c>
      <c r="M293" s="2">
        <v>4.0999999999999996</v>
      </c>
      <c r="N293" s="2">
        <v>702068.92</v>
      </c>
      <c r="O293" s="2">
        <v>111266.63</v>
      </c>
      <c r="P293" s="2">
        <v>0</v>
      </c>
      <c r="Q293" s="2">
        <v>0</v>
      </c>
      <c r="R293" s="2" t="s">
        <v>126</v>
      </c>
    </row>
    <row r="294" spans="1:18" ht="15" customHeight="1">
      <c r="A294" s="2">
        <v>293</v>
      </c>
      <c r="B294" s="2" t="s">
        <v>99</v>
      </c>
      <c r="C294" s="2" t="s">
        <v>15</v>
      </c>
      <c r="D294" s="2" t="s">
        <v>31</v>
      </c>
      <c r="E294" s="2" t="s">
        <v>22</v>
      </c>
      <c r="F294" s="2">
        <v>51996.32</v>
      </c>
      <c r="G294" s="2">
        <v>3834</v>
      </c>
      <c r="H294" s="2">
        <v>9.6000000000000002E-2</v>
      </c>
      <c r="I294" s="2">
        <v>8</v>
      </c>
      <c r="J294" s="2">
        <v>86.7</v>
      </c>
      <c r="K294" s="2">
        <v>6.04</v>
      </c>
      <c r="L294" s="2">
        <v>0</v>
      </c>
      <c r="M294" s="2">
        <v>4.5</v>
      </c>
      <c r="N294" s="2">
        <v>546223.69999999995</v>
      </c>
      <c r="O294" s="2">
        <v>100769.17</v>
      </c>
      <c r="P294" s="2">
        <v>0</v>
      </c>
      <c r="Q294" s="2">
        <v>0</v>
      </c>
      <c r="R294" s="2" t="s">
        <v>126</v>
      </c>
    </row>
    <row r="295" spans="1:18" ht="15" customHeight="1">
      <c r="A295" s="2">
        <v>294</v>
      </c>
      <c r="B295" s="2" t="s">
        <v>99</v>
      </c>
      <c r="C295" s="2" t="s">
        <v>18</v>
      </c>
      <c r="D295" s="2" t="s">
        <v>31</v>
      </c>
      <c r="E295" s="2" t="s">
        <v>22</v>
      </c>
      <c r="F295" s="2">
        <v>40102.879999999997</v>
      </c>
      <c r="G295" s="2">
        <v>2358</v>
      </c>
      <c r="H295" s="2">
        <v>0.11899999999999999</v>
      </c>
      <c r="I295" s="2">
        <v>9</v>
      </c>
      <c r="J295" s="2">
        <v>88.7</v>
      </c>
      <c r="K295" s="2">
        <v>1.6</v>
      </c>
      <c r="L295" s="2">
        <v>0</v>
      </c>
      <c r="M295" s="2">
        <v>4.2</v>
      </c>
      <c r="N295" s="2">
        <v>533121.26</v>
      </c>
      <c r="O295" s="2">
        <v>55063.39</v>
      </c>
      <c r="P295" s="2">
        <v>0</v>
      </c>
      <c r="Q295" s="2">
        <v>0</v>
      </c>
      <c r="R295" s="2" t="s">
        <v>126</v>
      </c>
    </row>
    <row r="296" spans="1:18" ht="15" customHeight="1">
      <c r="A296" s="2">
        <v>295</v>
      </c>
      <c r="B296" s="2" t="s">
        <v>99</v>
      </c>
      <c r="C296" s="2" t="s">
        <v>19</v>
      </c>
      <c r="D296" s="2" t="s">
        <v>31</v>
      </c>
      <c r="E296" s="2" t="s">
        <v>22</v>
      </c>
      <c r="F296" s="2">
        <v>59825.51</v>
      </c>
      <c r="G296" s="2">
        <v>1231</v>
      </c>
      <c r="H296" s="2">
        <v>0.214</v>
      </c>
      <c r="I296" s="2">
        <v>10</v>
      </c>
      <c r="J296" s="2">
        <v>84.8</v>
      </c>
      <c r="K296" s="2">
        <v>8.9600000000000009</v>
      </c>
      <c r="L296" s="2">
        <v>0</v>
      </c>
      <c r="M296" s="2">
        <v>4.7</v>
      </c>
      <c r="N296" s="2">
        <v>498970.32</v>
      </c>
      <c r="O296" s="2">
        <v>69656.7</v>
      </c>
      <c r="P296" s="2">
        <v>0</v>
      </c>
      <c r="Q296" s="2">
        <v>0</v>
      </c>
      <c r="R296" s="2" t="s">
        <v>126</v>
      </c>
    </row>
    <row r="297" spans="1:18" ht="15" customHeight="1">
      <c r="A297" s="2">
        <v>296</v>
      </c>
      <c r="B297" s="2" t="s">
        <v>99</v>
      </c>
      <c r="C297" s="2" t="s">
        <v>20</v>
      </c>
      <c r="D297" s="2" t="s">
        <v>31</v>
      </c>
      <c r="E297" s="2" t="s">
        <v>22</v>
      </c>
      <c r="F297" s="2">
        <v>27398.28</v>
      </c>
      <c r="G297" s="2">
        <v>1723</v>
      </c>
      <c r="H297" s="2">
        <v>0.17100000000000001</v>
      </c>
      <c r="I297" s="2">
        <v>9</v>
      </c>
      <c r="J297" s="2">
        <v>81</v>
      </c>
      <c r="K297" s="2">
        <v>0.74</v>
      </c>
      <c r="L297" s="2">
        <v>0</v>
      </c>
      <c r="M297" s="2">
        <v>4.5999999999999996</v>
      </c>
      <c r="N297" s="2">
        <v>487738.26</v>
      </c>
      <c r="O297" s="2">
        <v>96435.6</v>
      </c>
      <c r="P297" s="2">
        <v>0</v>
      </c>
      <c r="Q297" s="2">
        <v>0</v>
      </c>
      <c r="R297" s="2" t="s">
        <v>126</v>
      </c>
    </row>
    <row r="298" spans="1:18" ht="15" customHeight="1">
      <c r="A298" s="2">
        <v>297</v>
      </c>
      <c r="B298" s="2" t="s">
        <v>100</v>
      </c>
      <c r="C298" s="2" t="s">
        <v>15</v>
      </c>
      <c r="D298" s="2" t="s">
        <v>31</v>
      </c>
      <c r="E298" s="2" t="s">
        <v>22</v>
      </c>
      <c r="F298" s="2">
        <v>55599.56</v>
      </c>
      <c r="G298" s="2">
        <v>5896</v>
      </c>
      <c r="H298" s="2">
        <v>3.5999999999999997E-2</v>
      </c>
      <c r="I298" s="2">
        <v>12</v>
      </c>
      <c r="J298" s="2">
        <v>93.1</v>
      </c>
      <c r="K298" s="2">
        <v>6.13</v>
      </c>
      <c r="L298" s="2">
        <v>0</v>
      </c>
      <c r="M298" s="2">
        <v>3.3</v>
      </c>
      <c r="N298" s="2">
        <v>668459.37</v>
      </c>
      <c r="O298" s="2">
        <v>126435.42</v>
      </c>
      <c r="P298" s="2">
        <v>0</v>
      </c>
      <c r="Q298" s="2">
        <v>0</v>
      </c>
      <c r="R298" s="2" t="s">
        <v>126</v>
      </c>
    </row>
    <row r="299" spans="1:18" ht="15" customHeight="1">
      <c r="A299" s="2">
        <v>298</v>
      </c>
      <c r="B299" s="2" t="s">
        <v>100</v>
      </c>
      <c r="C299" s="2" t="s">
        <v>18</v>
      </c>
      <c r="D299" s="2" t="s">
        <v>31</v>
      </c>
      <c r="E299" s="2" t="s">
        <v>22</v>
      </c>
      <c r="F299" s="2">
        <v>55477.61</v>
      </c>
      <c r="G299" s="2">
        <v>5903</v>
      </c>
      <c r="H299" s="2">
        <v>0.10199999999999999</v>
      </c>
      <c r="I299" s="2">
        <v>14</v>
      </c>
      <c r="J299" s="2">
        <v>96.2</v>
      </c>
      <c r="K299" s="2">
        <v>1.41</v>
      </c>
      <c r="L299" s="2">
        <v>0</v>
      </c>
      <c r="M299" s="2">
        <v>3.3</v>
      </c>
      <c r="N299" s="2">
        <v>763162.45</v>
      </c>
      <c r="O299" s="2">
        <v>162524.04999999999</v>
      </c>
      <c r="P299" s="2">
        <v>0</v>
      </c>
      <c r="Q299" s="2">
        <v>0</v>
      </c>
      <c r="R299" s="2" t="s">
        <v>126</v>
      </c>
    </row>
    <row r="300" spans="1:18" ht="15" customHeight="1">
      <c r="A300" s="2">
        <v>299</v>
      </c>
      <c r="B300" s="2" t="s">
        <v>100</v>
      </c>
      <c r="C300" s="2" t="s">
        <v>19</v>
      </c>
      <c r="D300" s="2" t="s">
        <v>31</v>
      </c>
      <c r="E300" s="2" t="s">
        <v>22</v>
      </c>
      <c r="F300" s="2">
        <v>46174.7</v>
      </c>
      <c r="G300" s="2">
        <v>4898</v>
      </c>
      <c r="H300" s="2">
        <v>0.114</v>
      </c>
      <c r="I300" s="2">
        <v>11</v>
      </c>
      <c r="J300" s="2">
        <v>91.7</v>
      </c>
      <c r="K300" s="2">
        <v>3.75</v>
      </c>
      <c r="L300" s="2">
        <v>0</v>
      </c>
      <c r="M300" s="2">
        <v>3.1</v>
      </c>
      <c r="N300" s="2">
        <v>599017.32999999996</v>
      </c>
      <c r="O300" s="2">
        <v>134009.92000000001</v>
      </c>
      <c r="P300" s="2">
        <v>0</v>
      </c>
      <c r="Q300" s="2">
        <v>0</v>
      </c>
      <c r="R300" s="2" t="s">
        <v>126</v>
      </c>
    </row>
    <row r="301" spans="1:18" ht="15" customHeight="1">
      <c r="A301" s="2">
        <v>300</v>
      </c>
      <c r="B301" s="2" t="s">
        <v>100</v>
      </c>
      <c r="C301" s="2" t="s">
        <v>20</v>
      </c>
      <c r="D301" s="2" t="s">
        <v>31</v>
      </c>
      <c r="E301" s="2" t="s">
        <v>22</v>
      </c>
      <c r="F301" s="2">
        <v>24362.98</v>
      </c>
      <c r="G301" s="2">
        <v>1462</v>
      </c>
      <c r="H301" s="2">
        <v>0.11700000000000001</v>
      </c>
      <c r="I301" s="2">
        <v>6</v>
      </c>
      <c r="J301" s="2">
        <v>89.3</v>
      </c>
      <c r="K301" s="2">
        <v>15.06</v>
      </c>
      <c r="L301" s="2">
        <v>0</v>
      </c>
      <c r="M301" s="2">
        <v>3.2</v>
      </c>
      <c r="N301" s="2">
        <v>401582.58</v>
      </c>
      <c r="O301" s="2">
        <v>68454.929999999993</v>
      </c>
      <c r="P301" s="2">
        <v>0</v>
      </c>
      <c r="Q301" s="2">
        <v>0</v>
      </c>
      <c r="R301" s="2" t="s">
        <v>126</v>
      </c>
    </row>
    <row r="302" spans="1:18" ht="15" customHeight="1">
      <c r="A302" s="2">
        <v>301</v>
      </c>
      <c r="B302" s="2" t="s">
        <v>101</v>
      </c>
      <c r="C302" s="2" t="s">
        <v>15</v>
      </c>
      <c r="D302" s="2" t="s">
        <v>24</v>
      </c>
      <c r="E302" s="2" t="s">
        <v>32</v>
      </c>
      <c r="F302" s="2">
        <v>40647.67</v>
      </c>
      <c r="G302" s="2">
        <v>8252</v>
      </c>
      <c r="H302" s="2">
        <v>0.14099999999999999</v>
      </c>
      <c r="I302" s="2">
        <v>22</v>
      </c>
      <c r="J302" s="2">
        <v>88.2</v>
      </c>
      <c r="K302" s="2">
        <v>5.07</v>
      </c>
      <c r="L302" s="2">
        <v>1</v>
      </c>
      <c r="M302" s="2">
        <v>4.0999999999999996</v>
      </c>
      <c r="N302" s="2">
        <v>703812.99</v>
      </c>
      <c r="O302" s="2">
        <v>133577.98000000001</v>
      </c>
      <c r="P302" s="2">
        <v>0</v>
      </c>
      <c r="Q302" s="2">
        <v>0</v>
      </c>
      <c r="R302" s="2" t="s">
        <v>126</v>
      </c>
    </row>
    <row r="303" spans="1:18" ht="15" customHeight="1">
      <c r="A303" s="2">
        <v>302</v>
      </c>
      <c r="B303" s="2" t="s">
        <v>101</v>
      </c>
      <c r="C303" s="2" t="s">
        <v>18</v>
      </c>
      <c r="D303" s="2" t="s">
        <v>24</v>
      </c>
      <c r="E303" s="2" t="s">
        <v>32</v>
      </c>
      <c r="F303" s="2">
        <v>63986.98</v>
      </c>
      <c r="G303" s="2">
        <v>7989</v>
      </c>
      <c r="H303" s="2">
        <v>7.3999999999999996E-2</v>
      </c>
      <c r="I303" s="2">
        <v>20</v>
      </c>
      <c r="J303" s="2">
        <v>83.3</v>
      </c>
      <c r="K303" s="2">
        <v>3.6</v>
      </c>
      <c r="L303" s="2">
        <v>0</v>
      </c>
      <c r="M303" s="2">
        <v>3.7</v>
      </c>
      <c r="N303" s="2">
        <v>724346.73</v>
      </c>
      <c r="O303" s="2">
        <v>155013.91</v>
      </c>
      <c r="P303" s="2">
        <v>0</v>
      </c>
      <c r="Q303" s="2">
        <v>0</v>
      </c>
      <c r="R303" s="2" t="s">
        <v>126</v>
      </c>
    </row>
    <row r="304" spans="1:18" ht="15" customHeight="1">
      <c r="A304" s="2">
        <v>303</v>
      </c>
      <c r="B304" s="2" t="s">
        <v>101</v>
      </c>
      <c r="C304" s="2" t="s">
        <v>19</v>
      </c>
      <c r="D304" s="2" t="s">
        <v>24</v>
      </c>
      <c r="E304" s="2" t="s">
        <v>32</v>
      </c>
      <c r="F304" s="2">
        <v>52843.75</v>
      </c>
      <c r="G304" s="2">
        <v>8268</v>
      </c>
      <c r="H304" s="2">
        <v>0.13800000000000001</v>
      </c>
      <c r="I304" s="2">
        <v>19</v>
      </c>
      <c r="J304" s="2">
        <v>87.3</v>
      </c>
      <c r="K304" s="2">
        <v>4.3899999999999997</v>
      </c>
      <c r="L304" s="2">
        <v>1</v>
      </c>
      <c r="M304" s="2">
        <v>4.7</v>
      </c>
      <c r="N304" s="2">
        <v>730890.01</v>
      </c>
      <c r="O304" s="2">
        <v>105502.56</v>
      </c>
      <c r="P304" s="2">
        <v>0</v>
      </c>
      <c r="Q304" s="2">
        <v>0</v>
      </c>
      <c r="R304" s="2" t="s">
        <v>126</v>
      </c>
    </row>
    <row r="305" spans="1:18" ht="15" customHeight="1">
      <c r="A305" s="2">
        <v>304</v>
      </c>
      <c r="B305" s="2" t="s">
        <v>101</v>
      </c>
      <c r="C305" s="2" t="s">
        <v>20</v>
      </c>
      <c r="D305" s="2" t="s">
        <v>24</v>
      </c>
      <c r="E305" s="2" t="s">
        <v>32</v>
      </c>
      <c r="F305" s="2">
        <v>31997.25</v>
      </c>
      <c r="G305" s="2">
        <v>8183</v>
      </c>
      <c r="H305" s="2">
        <v>0.19800000000000001</v>
      </c>
      <c r="I305" s="2">
        <v>18</v>
      </c>
      <c r="J305" s="2">
        <v>93</v>
      </c>
      <c r="K305" s="2">
        <v>2.79</v>
      </c>
      <c r="L305" s="2">
        <v>0</v>
      </c>
      <c r="M305" s="2">
        <v>4.2</v>
      </c>
      <c r="N305" s="2">
        <v>780580.95</v>
      </c>
      <c r="O305" s="2">
        <v>138144.46</v>
      </c>
      <c r="P305" s="2">
        <v>0</v>
      </c>
      <c r="Q305" s="2">
        <v>0</v>
      </c>
      <c r="R305" s="2" t="s">
        <v>126</v>
      </c>
    </row>
    <row r="306" spans="1:18" ht="15" customHeight="1">
      <c r="A306" s="2">
        <v>305</v>
      </c>
      <c r="B306" s="2" t="s">
        <v>102</v>
      </c>
      <c r="C306" s="2" t="s">
        <v>15</v>
      </c>
      <c r="D306" s="2" t="s">
        <v>28</v>
      </c>
      <c r="E306" s="2" t="s">
        <v>17</v>
      </c>
      <c r="F306" s="2">
        <v>54948.02</v>
      </c>
      <c r="G306" s="2">
        <v>6534</v>
      </c>
      <c r="H306" s="2">
        <v>0.183</v>
      </c>
      <c r="I306" s="2">
        <v>14</v>
      </c>
      <c r="J306" s="2">
        <v>94.5</v>
      </c>
      <c r="K306" s="2">
        <v>1.56</v>
      </c>
      <c r="L306" s="2">
        <v>0</v>
      </c>
      <c r="M306" s="2">
        <v>4</v>
      </c>
      <c r="N306" s="2">
        <v>727957.48</v>
      </c>
      <c r="O306" s="2">
        <v>74805.23</v>
      </c>
      <c r="P306" s="2">
        <v>0</v>
      </c>
      <c r="Q306" s="2">
        <v>0</v>
      </c>
      <c r="R306" s="2" t="s">
        <v>126</v>
      </c>
    </row>
    <row r="307" spans="1:18" ht="15" customHeight="1">
      <c r="A307" s="2">
        <v>306</v>
      </c>
      <c r="B307" s="2" t="s">
        <v>102</v>
      </c>
      <c r="C307" s="2" t="s">
        <v>18</v>
      </c>
      <c r="D307" s="2" t="s">
        <v>28</v>
      </c>
      <c r="E307" s="2" t="s">
        <v>17</v>
      </c>
      <c r="F307" s="2">
        <v>46146.239999999998</v>
      </c>
      <c r="G307" s="2">
        <v>5804</v>
      </c>
      <c r="H307" s="2">
        <v>4.7E-2</v>
      </c>
      <c r="I307" s="2">
        <v>16</v>
      </c>
      <c r="J307" s="2">
        <v>86.9</v>
      </c>
      <c r="K307" s="2">
        <v>15.82</v>
      </c>
      <c r="L307" s="2">
        <v>0</v>
      </c>
      <c r="M307" s="2">
        <v>3.8</v>
      </c>
      <c r="N307" s="2">
        <v>538376</v>
      </c>
      <c r="O307" s="2">
        <v>87605.62</v>
      </c>
      <c r="P307" s="2">
        <v>0</v>
      </c>
      <c r="Q307" s="2">
        <v>0</v>
      </c>
      <c r="R307" s="2" t="s">
        <v>126</v>
      </c>
    </row>
    <row r="308" spans="1:18" ht="15" customHeight="1">
      <c r="A308" s="2">
        <v>307</v>
      </c>
      <c r="B308" s="2" t="s">
        <v>102</v>
      </c>
      <c r="C308" s="2" t="s">
        <v>19</v>
      </c>
      <c r="D308" s="2" t="s">
        <v>28</v>
      </c>
      <c r="E308" s="2" t="s">
        <v>17</v>
      </c>
      <c r="F308" s="2">
        <v>22387.26</v>
      </c>
      <c r="G308" s="2">
        <v>6301</v>
      </c>
      <c r="H308" s="2">
        <v>0.14599999999999999</v>
      </c>
      <c r="I308" s="2">
        <v>14</v>
      </c>
      <c r="J308" s="2">
        <v>85.9</v>
      </c>
      <c r="K308" s="2">
        <v>1.17</v>
      </c>
      <c r="L308" s="2">
        <v>1</v>
      </c>
      <c r="M308" s="2">
        <v>3.7</v>
      </c>
      <c r="N308" s="2">
        <v>665342.49</v>
      </c>
      <c r="O308" s="2">
        <v>93441.81</v>
      </c>
      <c r="P308" s="2">
        <v>0</v>
      </c>
      <c r="Q308" s="2">
        <v>0</v>
      </c>
      <c r="R308" s="2" t="s">
        <v>126</v>
      </c>
    </row>
    <row r="309" spans="1:18" ht="15" customHeight="1">
      <c r="A309" s="2">
        <v>308</v>
      </c>
      <c r="B309" s="2" t="s">
        <v>102</v>
      </c>
      <c r="C309" s="2" t="s">
        <v>20</v>
      </c>
      <c r="D309" s="2" t="s">
        <v>28</v>
      </c>
      <c r="E309" s="2" t="s">
        <v>17</v>
      </c>
      <c r="F309" s="2">
        <v>60684.05</v>
      </c>
      <c r="G309" s="2">
        <v>6399</v>
      </c>
      <c r="H309" s="2">
        <v>7.4999999999999997E-2</v>
      </c>
      <c r="I309" s="2">
        <v>16</v>
      </c>
      <c r="J309" s="2">
        <v>99</v>
      </c>
      <c r="K309" s="2">
        <v>3.82</v>
      </c>
      <c r="L309" s="2">
        <v>0</v>
      </c>
      <c r="M309" s="2">
        <v>3.5</v>
      </c>
      <c r="N309" s="2">
        <v>651164.18000000005</v>
      </c>
      <c r="O309" s="2">
        <v>109466.5</v>
      </c>
      <c r="P309" s="2">
        <v>0</v>
      </c>
      <c r="Q309" s="2">
        <v>0</v>
      </c>
      <c r="R309" s="2" t="s">
        <v>126</v>
      </c>
    </row>
    <row r="310" spans="1:18" ht="15" customHeight="1">
      <c r="A310" s="2">
        <v>309</v>
      </c>
      <c r="B310" s="2" t="s">
        <v>103</v>
      </c>
      <c r="C310" s="2" t="s">
        <v>15</v>
      </c>
      <c r="D310" s="2" t="s">
        <v>28</v>
      </c>
      <c r="E310" s="2" t="s">
        <v>22</v>
      </c>
      <c r="F310" s="2">
        <v>48465.599999999999</v>
      </c>
      <c r="G310" s="2">
        <v>5759</v>
      </c>
      <c r="H310" s="2">
        <v>0.154</v>
      </c>
      <c r="I310" s="2">
        <v>13</v>
      </c>
      <c r="J310" s="2">
        <v>87.5</v>
      </c>
      <c r="K310" s="2">
        <v>4.1399999999999997</v>
      </c>
      <c r="L310" s="2">
        <v>0</v>
      </c>
      <c r="M310" s="2">
        <v>4</v>
      </c>
      <c r="N310" s="2">
        <v>628538.30000000005</v>
      </c>
      <c r="O310" s="2">
        <v>112509.15</v>
      </c>
      <c r="P310" s="2">
        <v>0</v>
      </c>
      <c r="Q310" s="2">
        <v>0</v>
      </c>
      <c r="R310" s="2" t="s">
        <v>126</v>
      </c>
    </row>
    <row r="311" spans="1:18" ht="15" customHeight="1">
      <c r="A311" s="2">
        <v>310</v>
      </c>
      <c r="B311" s="2" t="s">
        <v>103</v>
      </c>
      <c r="C311" s="2" t="s">
        <v>18</v>
      </c>
      <c r="D311" s="2" t="s">
        <v>28</v>
      </c>
      <c r="E311" s="2" t="s">
        <v>22</v>
      </c>
      <c r="F311" s="2">
        <v>23702.38</v>
      </c>
      <c r="G311" s="2">
        <v>5285</v>
      </c>
      <c r="H311" s="2">
        <v>0.16700000000000001</v>
      </c>
      <c r="I311" s="2">
        <v>14</v>
      </c>
      <c r="J311" s="2">
        <v>79.7</v>
      </c>
      <c r="K311" s="2">
        <v>1.1000000000000001</v>
      </c>
      <c r="L311" s="2">
        <v>0</v>
      </c>
      <c r="M311" s="2">
        <v>4.3</v>
      </c>
      <c r="N311" s="2">
        <v>536524.84</v>
      </c>
      <c r="O311" s="2">
        <v>92752.94</v>
      </c>
      <c r="P311" s="2">
        <v>0</v>
      </c>
      <c r="Q311" s="2">
        <v>0</v>
      </c>
      <c r="R311" s="2" t="s">
        <v>126</v>
      </c>
    </row>
    <row r="312" spans="1:18" ht="15" customHeight="1">
      <c r="A312" s="2">
        <v>311</v>
      </c>
      <c r="B312" s="2" t="s">
        <v>103</v>
      </c>
      <c r="C312" s="2" t="s">
        <v>19</v>
      </c>
      <c r="D312" s="2" t="s">
        <v>28</v>
      </c>
      <c r="E312" s="2" t="s">
        <v>22</v>
      </c>
      <c r="F312" s="2">
        <v>54322.94</v>
      </c>
      <c r="G312" s="2">
        <v>5434</v>
      </c>
      <c r="H312" s="2">
        <v>0.2</v>
      </c>
      <c r="I312" s="2">
        <v>13</v>
      </c>
      <c r="J312" s="2">
        <v>85.7</v>
      </c>
      <c r="K312" s="2">
        <v>10.6</v>
      </c>
      <c r="L312" s="2">
        <v>0</v>
      </c>
      <c r="M312" s="2">
        <v>4.2</v>
      </c>
      <c r="N312" s="2">
        <v>621677.30000000005</v>
      </c>
      <c r="O312" s="2">
        <v>105192.52</v>
      </c>
      <c r="P312" s="2">
        <v>0</v>
      </c>
      <c r="Q312" s="2">
        <v>0</v>
      </c>
      <c r="R312" s="2" t="s">
        <v>126</v>
      </c>
    </row>
    <row r="313" spans="1:18" ht="15" customHeight="1">
      <c r="A313" s="2">
        <v>312</v>
      </c>
      <c r="B313" s="2" t="s">
        <v>103</v>
      </c>
      <c r="C313" s="2" t="s">
        <v>20</v>
      </c>
      <c r="D313" s="2" t="s">
        <v>28</v>
      </c>
      <c r="E313" s="2" t="s">
        <v>22</v>
      </c>
      <c r="F313" s="2">
        <v>86026.58</v>
      </c>
      <c r="G313" s="2">
        <v>7479</v>
      </c>
      <c r="H313" s="2">
        <v>0.14199999999999999</v>
      </c>
      <c r="I313" s="2">
        <v>20</v>
      </c>
      <c r="J313" s="2">
        <v>89</v>
      </c>
      <c r="K313" s="2">
        <v>0.9</v>
      </c>
      <c r="L313" s="2">
        <v>0</v>
      </c>
      <c r="M313" s="2">
        <v>3.9</v>
      </c>
      <c r="N313" s="2">
        <v>771129.07</v>
      </c>
      <c r="O313" s="2">
        <v>116851.13</v>
      </c>
      <c r="P313" s="2">
        <v>1</v>
      </c>
      <c r="Q313" s="2">
        <v>0</v>
      </c>
      <c r="R313" s="2" t="s">
        <v>127</v>
      </c>
    </row>
    <row r="314" spans="1:18" ht="15" customHeight="1">
      <c r="A314" s="2">
        <v>313</v>
      </c>
      <c r="B314" s="2" t="s">
        <v>104</v>
      </c>
      <c r="C314" s="2" t="s">
        <v>15</v>
      </c>
      <c r="D314" s="2" t="s">
        <v>24</v>
      </c>
      <c r="E314" s="2" t="s">
        <v>17</v>
      </c>
      <c r="F314" s="2">
        <v>78967.520000000004</v>
      </c>
      <c r="G314" s="2">
        <v>6164</v>
      </c>
      <c r="H314" s="2">
        <v>2.1000000000000001E-2</v>
      </c>
      <c r="I314" s="2">
        <v>16</v>
      </c>
      <c r="J314" s="2">
        <v>85.5</v>
      </c>
      <c r="K314" s="2">
        <v>0.2</v>
      </c>
      <c r="L314" s="2">
        <v>0</v>
      </c>
      <c r="M314" s="2">
        <v>3.4</v>
      </c>
      <c r="N314" s="2">
        <v>702052.47</v>
      </c>
      <c r="O314" s="2">
        <v>121732.51</v>
      </c>
      <c r="P314" s="2">
        <v>0</v>
      </c>
      <c r="Q314" s="2">
        <v>0</v>
      </c>
      <c r="R314" s="2" t="s">
        <v>126</v>
      </c>
    </row>
    <row r="315" spans="1:18" ht="15" customHeight="1">
      <c r="A315" s="2">
        <v>314</v>
      </c>
      <c r="B315" s="2" t="s">
        <v>104</v>
      </c>
      <c r="C315" s="2" t="s">
        <v>18</v>
      </c>
      <c r="D315" s="2" t="s">
        <v>24</v>
      </c>
      <c r="E315" s="2" t="s">
        <v>17</v>
      </c>
      <c r="F315" s="2">
        <v>46767.99</v>
      </c>
      <c r="G315" s="2">
        <v>7973</v>
      </c>
      <c r="H315" s="2">
        <v>0.183</v>
      </c>
      <c r="I315" s="2">
        <v>18</v>
      </c>
      <c r="J315" s="2">
        <v>94.8</v>
      </c>
      <c r="K315" s="2">
        <v>4.67</v>
      </c>
      <c r="L315" s="2">
        <v>0</v>
      </c>
      <c r="M315" s="2">
        <v>3.9</v>
      </c>
      <c r="N315" s="2">
        <v>688368.46</v>
      </c>
      <c r="O315" s="2">
        <v>93588.42</v>
      </c>
      <c r="P315" s="2">
        <v>1</v>
      </c>
      <c r="Q315" s="2">
        <v>0</v>
      </c>
      <c r="R315" s="2" t="s">
        <v>127</v>
      </c>
    </row>
    <row r="316" spans="1:18" ht="15" customHeight="1">
      <c r="A316" s="2">
        <v>315</v>
      </c>
      <c r="B316" s="2" t="s">
        <v>104</v>
      </c>
      <c r="C316" s="2" t="s">
        <v>19</v>
      </c>
      <c r="D316" s="2" t="s">
        <v>24</v>
      </c>
      <c r="E316" s="2" t="s">
        <v>17</v>
      </c>
      <c r="F316" s="2">
        <v>62507.16</v>
      </c>
      <c r="G316" s="2">
        <v>6000</v>
      </c>
      <c r="H316" s="2">
        <v>9.0999999999999998E-2</v>
      </c>
      <c r="I316" s="2">
        <v>14</v>
      </c>
      <c r="J316" s="2">
        <v>98.2</v>
      </c>
      <c r="K316" s="2">
        <v>4.38</v>
      </c>
      <c r="L316" s="2">
        <v>1</v>
      </c>
      <c r="M316" s="2">
        <v>3.9</v>
      </c>
      <c r="N316" s="2">
        <v>712375.77</v>
      </c>
      <c r="O316" s="2">
        <v>104171.53</v>
      </c>
      <c r="P316" s="2">
        <v>0</v>
      </c>
      <c r="Q316" s="2">
        <v>0</v>
      </c>
      <c r="R316" s="2" t="s">
        <v>126</v>
      </c>
    </row>
    <row r="317" spans="1:18" ht="15" customHeight="1">
      <c r="A317" s="2">
        <v>316</v>
      </c>
      <c r="B317" s="2" t="s">
        <v>104</v>
      </c>
      <c r="C317" s="2" t="s">
        <v>20</v>
      </c>
      <c r="D317" s="2" t="s">
        <v>24</v>
      </c>
      <c r="E317" s="2" t="s">
        <v>17</v>
      </c>
      <c r="F317" s="2">
        <v>66456.28</v>
      </c>
      <c r="G317" s="2">
        <v>9967</v>
      </c>
      <c r="H317" s="2">
        <v>0.108</v>
      </c>
      <c r="I317" s="2">
        <v>20</v>
      </c>
      <c r="J317" s="2">
        <v>94.7</v>
      </c>
      <c r="K317" s="2">
        <v>4.4800000000000004</v>
      </c>
      <c r="L317" s="2">
        <v>0</v>
      </c>
      <c r="M317" s="2">
        <v>4.2</v>
      </c>
      <c r="N317" s="2">
        <v>844710.67</v>
      </c>
      <c r="O317" s="2">
        <v>137140.18</v>
      </c>
      <c r="P317" s="2">
        <v>0</v>
      </c>
      <c r="Q317" s="2">
        <v>0</v>
      </c>
      <c r="R317" s="2" t="s">
        <v>126</v>
      </c>
    </row>
    <row r="318" spans="1:18" ht="15" customHeight="1">
      <c r="A318" s="2">
        <v>317</v>
      </c>
      <c r="B318" s="2" t="s">
        <v>105</v>
      </c>
      <c r="C318" s="2" t="s">
        <v>15</v>
      </c>
      <c r="D318" s="2" t="s">
        <v>16</v>
      </c>
      <c r="E318" s="2" t="s">
        <v>17</v>
      </c>
      <c r="F318" s="2">
        <v>76614.320000000007</v>
      </c>
      <c r="G318" s="2">
        <v>5639</v>
      </c>
      <c r="H318" s="2">
        <v>0.17399999999999999</v>
      </c>
      <c r="I318" s="2">
        <v>15</v>
      </c>
      <c r="J318" s="2">
        <v>92.9</v>
      </c>
      <c r="K318" s="2">
        <v>1.02</v>
      </c>
      <c r="L318" s="2">
        <v>1</v>
      </c>
      <c r="M318" s="2">
        <v>4</v>
      </c>
      <c r="N318" s="2">
        <v>620264.19999999995</v>
      </c>
      <c r="O318" s="2">
        <v>91365.64</v>
      </c>
      <c r="P318" s="2">
        <v>0</v>
      </c>
      <c r="Q318" s="2">
        <v>0</v>
      </c>
      <c r="R318" s="2" t="s">
        <v>126</v>
      </c>
    </row>
    <row r="319" spans="1:18" ht="15" customHeight="1">
      <c r="A319" s="2">
        <v>318</v>
      </c>
      <c r="B319" s="2" t="s">
        <v>105</v>
      </c>
      <c r="C319" s="2" t="s">
        <v>18</v>
      </c>
      <c r="D319" s="2" t="s">
        <v>16</v>
      </c>
      <c r="E319" s="2" t="s">
        <v>17</v>
      </c>
      <c r="F319" s="2">
        <v>24088.06</v>
      </c>
      <c r="G319" s="2">
        <v>3466</v>
      </c>
      <c r="H319" s="2">
        <v>0</v>
      </c>
      <c r="I319" s="2">
        <v>11</v>
      </c>
      <c r="J319" s="2">
        <v>88</v>
      </c>
      <c r="K319" s="2">
        <v>0.2</v>
      </c>
      <c r="L319" s="2">
        <v>0</v>
      </c>
      <c r="M319" s="2">
        <v>3.8</v>
      </c>
      <c r="N319" s="2">
        <v>536845.42000000004</v>
      </c>
      <c r="O319" s="2">
        <v>107473.75</v>
      </c>
      <c r="P319" s="2">
        <v>0</v>
      </c>
      <c r="Q319" s="2">
        <v>0</v>
      </c>
      <c r="R319" s="2" t="s">
        <v>126</v>
      </c>
    </row>
    <row r="320" spans="1:18" ht="15" customHeight="1">
      <c r="A320" s="2">
        <v>319</v>
      </c>
      <c r="B320" s="2" t="s">
        <v>105</v>
      </c>
      <c r="C320" s="2" t="s">
        <v>19</v>
      </c>
      <c r="D320" s="2" t="s">
        <v>16</v>
      </c>
      <c r="E320" s="2" t="s">
        <v>17</v>
      </c>
      <c r="F320" s="2">
        <v>81902.58</v>
      </c>
      <c r="G320" s="2">
        <v>7775</v>
      </c>
      <c r="H320" s="2">
        <v>0.215</v>
      </c>
      <c r="I320" s="2">
        <v>20</v>
      </c>
      <c r="J320" s="2">
        <v>85.2</v>
      </c>
      <c r="K320" s="2">
        <v>4.8899999999999997</v>
      </c>
      <c r="L320" s="2">
        <v>1</v>
      </c>
      <c r="M320" s="2">
        <v>4.2</v>
      </c>
      <c r="N320" s="2">
        <v>726776.22</v>
      </c>
      <c r="O320" s="2">
        <v>90804.49</v>
      </c>
      <c r="P320" s="2">
        <v>0</v>
      </c>
      <c r="Q320" s="2">
        <v>0</v>
      </c>
      <c r="R320" s="2" t="s">
        <v>126</v>
      </c>
    </row>
    <row r="321" spans="1:18" ht="15" customHeight="1">
      <c r="A321" s="2">
        <v>320</v>
      </c>
      <c r="B321" s="2" t="s">
        <v>105</v>
      </c>
      <c r="C321" s="2" t="s">
        <v>20</v>
      </c>
      <c r="D321" s="2" t="s">
        <v>16</v>
      </c>
      <c r="E321" s="2" t="s">
        <v>17</v>
      </c>
      <c r="F321" s="2">
        <v>40553.11</v>
      </c>
      <c r="G321" s="2">
        <v>5317</v>
      </c>
      <c r="H321" s="2">
        <v>0.16500000000000001</v>
      </c>
      <c r="I321" s="2">
        <v>17</v>
      </c>
      <c r="J321" s="2">
        <v>84.3</v>
      </c>
      <c r="K321" s="2">
        <v>11.82</v>
      </c>
      <c r="L321" s="2">
        <v>0</v>
      </c>
      <c r="M321" s="2">
        <v>4.0999999999999996</v>
      </c>
      <c r="N321" s="2">
        <v>559660.84</v>
      </c>
      <c r="O321" s="2">
        <v>71443.61</v>
      </c>
      <c r="P321" s="2">
        <v>0</v>
      </c>
      <c r="Q321" s="2">
        <v>0</v>
      </c>
      <c r="R321" s="2" t="s">
        <v>126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1"/>
  <sheetViews>
    <sheetView workbookViewId="0">
      <selection sqref="A1:XFD1048576"/>
    </sheetView>
  </sheetViews>
  <sheetFormatPr defaultRowHeight="14.25"/>
  <cols>
    <col min="1" max="1" width="9.375" bestFit="1" customWidth="1"/>
    <col min="2" max="2" width="9.25" bestFit="1" customWidth="1"/>
    <col min="3" max="3" width="6.625" bestFit="1" customWidth="1"/>
    <col min="4" max="4" width="10.25" bestFit="1" customWidth="1"/>
    <col min="5" max="5" width="22.25" bestFit="1" customWidth="1"/>
    <col min="6" max="6" width="15" bestFit="1" customWidth="1"/>
    <col min="7" max="7" width="21.625" bestFit="1" customWidth="1"/>
    <col min="8" max="8" width="12.625" bestFit="1" customWidth="1"/>
    <col min="9" max="9" width="13" bestFit="1" customWidth="1"/>
    <col min="10" max="10" width="12" bestFit="1" customWidth="1"/>
    <col min="11" max="11" width="46.25" bestFit="1" customWidth="1"/>
  </cols>
  <sheetData>
    <row r="1" spans="1:11" ht="15" customHeight="1">
      <c r="A1" s="1" t="s">
        <v>122</v>
      </c>
      <c r="B1" s="1" t="s">
        <v>0</v>
      </c>
      <c r="C1" s="1" t="s">
        <v>2</v>
      </c>
      <c r="D1" s="1" t="s">
        <v>3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</row>
    <row r="2" spans="1:11" ht="15" customHeight="1">
      <c r="A2" s="2">
        <v>1</v>
      </c>
      <c r="B2" s="2" t="s">
        <v>14</v>
      </c>
      <c r="C2" s="2" t="s">
        <v>16</v>
      </c>
      <c r="D2" s="2" t="s">
        <v>17</v>
      </c>
      <c r="E2" s="2">
        <f t="shared" ref="E2:E65" si="0">IF(D2="High Street",1,0)</f>
        <v>0</v>
      </c>
      <c r="F2" s="2">
        <f t="shared" ref="F2:F65" si="1">IF(D2="Mall",1,0)</f>
        <v>0</v>
      </c>
      <c r="G2" s="2">
        <f t="shared" ref="G2:G65" si="2">IF(D2="Residential",1,0)</f>
        <v>1</v>
      </c>
      <c r="H2" s="2">
        <f t="shared" ref="H2:H65" si="3">IF(C2="North",1,0)</f>
        <v>0</v>
      </c>
      <c r="I2" s="2">
        <f t="shared" ref="I2:I65" si="4">IF(C2="South",1,0)</f>
        <v>0</v>
      </c>
      <c r="J2" s="2">
        <f t="shared" ref="J2:J65" si="5">IF(C2="West",1,0)</f>
        <v>0</v>
      </c>
      <c r="K2" s="2" t="s">
        <v>136</v>
      </c>
    </row>
    <row r="3" spans="1:11" ht="15" customHeight="1">
      <c r="A3" s="2">
        <v>2</v>
      </c>
      <c r="B3" s="2" t="s">
        <v>14</v>
      </c>
      <c r="C3" s="2" t="s">
        <v>16</v>
      </c>
      <c r="D3" s="2" t="s">
        <v>17</v>
      </c>
      <c r="E3" s="2">
        <f t="shared" si="0"/>
        <v>0</v>
      </c>
      <c r="F3" s="2">
        <f t="shared" si="1"/>
        <v>0</v>
      </c>
      <c r="G3" s="2">
        <f t="shared" si="2"/>
        <v>1</v>
      </c>
      <c r="H3" s="2">
        <f t="shared" si="3"/>
        <v>0</v>
      </c>
      <c r="I3" s="2">
        <f t="shared" si="4"/>
        <v>0</v>
      </c>
      <c r="J3" s="2">
        <f t="shared" si="5"/>
        <v>0</v>
      </c>
      <c r="K3" s="2" t="s">
        <v>136</v>
      </c>
    </row>
    <row r="4" spans="1:11" ht="15" customHeight="1">
      <c r="A4" s="2">
        <v>3</v>
      </c>
      <c r="B4" s="2" t="s">
        <v>14</v>
      </c>
      <c r="C4" s="2" t="s">
        <v>16</v>
      </c>
      <c r="D4" s="2" t="s">
        <v>17</v>
      </c>
      <c r="E4" s="2">
        <f t="shared" si="0"/>
        <v>0</v>
      </c>
      <c r="F4" s="2">
        <f t="shared" si="1"/>
        <v>0</v>
      </c>
      <c r="G4" s="2">
        <f t="shared" si="2"/>
        <v>1</v>
      </c>
      <c r="H4" s="2">
        <f t="shared" si="3"/>
        <v>0</v>
      </c>
      <c r="I4" s="2">
        <f t="shared" si="4"/>
        <v>0</v>
      </c>
      <c r="J4" s="2">
        <f t="shared" si="5"/>
        <v>0</v>
      </c>
      <c r="K4" s="2" t="s">
        <v>136</v>
      </c>
    </row>
    <row r="5" spans="1:11" ht="15" customHeight="1">
      <c r="A5" s="2">
        <v>4</v>
      </c>
      <c r="B5" s="2" t="s">
        <v>14</v>
      </c>
      <c r="C5" s="2" t="s">
        <v>16</v>
      </c>
      <c r="D5" s="2" t="s">
        <v>17</v>
      </c>
      <c r="E5" s="2">
        <f t="shared" si="0"/>
        <v>0</v>
      </c>
      <c r="F5" s="2">
        <f t="shared" si="1"/>
        <v>0</v>
      </c>
      <c r="G5" s="2">
        <f t="shared" si="2"/>
        <v>1</v>
      </c>
      <c r="H5" s="2">
        <f t="shared" si="3"/>
        <v>0</v>
      </c>
      <c r="I5" s="2">
        <f t="shared" si="4"/>
        <v>0</v>
      </c>
      <c r="J5" s="2">
        <f t="shared" si="5"/>
        <v>0</v>
      </c>
      <c r="K5" s="2" t="s">
        <v>136</v>
      </c>
    </row>
    <row r="6" spans="1:11" ht="15" customHeight="1">
      <c r="A6" s="2">
        <v>5</v>
      </c>
      <c r="B6" s="2" t="s">
        <v>21</v>
      </c>
      <c r="C6" s="2" t="s">
        <v>16</v>
      </c>
      <c r="D6" s="2" t="s">
        <v>22</v>
      </c>
      <c r="E6" s="2">
        <f t="shared" si="0"/>
        <v>1</v>
      </c>
      <c r="F6" s="2">
        <f t="shared" si="1"/>
        <v>0</v>
      </c>
      <c r="G6" s="2">
        <f t="shared" si="2"/>
        <v>0</v>
      </c>
      <c r="H6" s="2">
        <f t="shared" si="3"/>
        <v>0</v>
      </c>
      <c r="I6" s="2">
        <f t="shared" si="4"/>
        <v>0</v>
      </c>
      <c r="J6" s="2">
        <f t="shared" si="5"/>
        <v>0</v>
      </c>
      <c r="K6" s="2" t="s">
        <v>136</v>
      </c>
    </row>
    <row r="7" spans="1:11" ht="15" customHeight="1">
      <c r="A7" s="2">
        <v>6</v>
      </c>
      <c r="B7" s="2" t="s">
        <v>21</v>
      </c>
      <c r="C7" s="2" t="s">
        <v>16</v>
      </c>
      <c r="D7" s="2" t="s">
        <v>22</v>
      </c>
      <c r="E7" s="2">
        <f t="shared" si="0"/>
        <v>1</v>
      </c>
      <c r="F7" s="2">
        <f t="shared" si="1"/>
        <v>0</v>
      </c>
      <c r="G7" s="2">
        <f t="shared" si="2"/>
        <v>0</v>
      </c>
      <c r="H7" s="2">
        <f t="shared" si="3"/>
        <v>0</v>
      </c>
      <c r="I7" s="2">
        <f t="shared" si="4"/>
        <v>0</v>
      </c>
      <c r="J7" s="2">
        <f t="shared" si="5"/>
        <v>0</v>
      </c>
      <c r="K7" s="2" t="s">
        <v>136</v>
      </c>
    </row>
    <row r="8" spans="1:11" ht="15" customHeight="1">
      <c r="A8" s="2">
        <v>7</v>
      </c>
      <c r="B8" s="2" t="s">
        <v>21</v>
      </c>
      <c r="C8" s="2" t="s">
        <v>16</v>
      </c>
      <c r="D8" s="2" t="s">
        <v>22</v>
      </c>
      <c r="E8" s="2">
        <f t="shared" si="0"/>
        <v>1</v>
      </c>
      <c r="F8" s="2">
        <f t="shared" si="1"/>
        <v>0</v>
      </c>
      <c r="G8" s="2">
        <f t="shared" si="2"/>
        <v>0</v>
      </c>
      <c r="H8" s="2">
        <f t="shared" si="3"/>
        <v>0</v>
      </c>
      <c r="I8" s="2">
        <f t="shared" si="4"/>
        <v>0</v>
      </c>
      <c r="J8" s="2">
        <f t="shared" si="5"/>
        <v>0</v>
      </c>
      <c r="K8" s="2" t="s">
        <v>136</v>
      </c>
    </row>
    <row r="9" spans="1:11" ht="15" customHeight="1">
      <c r="A9" s="2">
        <v>8</v>
      </c>
      <c r="B9" s="2" t="s">
        <v>21</v>
      </c>
      <c r="C9" s="2" t="s">
        <v>16</v>
      </c>
      <c r="D9" s="2" t="s">
        <v>22</v>
      </c>
      <c r="E9" s="2">
        <f t="shared" si="0"/>
        <v>1</v>
      </c>
      <c r="F9" s="2">
        <f t="shared" si="1"/>
        <v>0</v>
      </c>
      <c r="G9" s="2">
        <f t="shared" si="2"/>
        <v>0</v>
      </c>
      <c r="H9" s="2">
        <f t="shared" si="3"/>
        <v>0</v>
      </c>
      <c r="I9" s="2">
        <f t="shared" si="4"/>
        <v>0</v>
      </c>
      <c r="J9" s="2">
        <f t="shared" si="5"/>
        <v>0</v>
      </c>
      <c r="K9" s="2" t="s">
        <v>136</v>
      </c>
    </row>
    <row r="10" spans="1:11" ht="15" customHeight="1">
      <c r="A10" s="2">
        <v>9</v>
      </c>
      <c r="B10" s="2" t="s">
        <v>23</v>
      </c>
      <c r="C10" s="2" t="s">
        <v>24</v>
      </c>
      <c r="D10" s="2" t="s">
        <v>25</v>
      </c>
      <c r="E10" s="2">
        <f t="shared" si="0"/>
        <v>0</v>
      </c>
      <c r="F10" s="2">
        <f t="shared" si="1"/>
        <v>0</v>
      </c>
      <c r="G10" s="2">
        <f t="shared" si="2"/>
        <v>0</v>
      </c>
      <c r="H10" s="2">
        <f t="shared" si="3"/>
        <v>1</v>
      </c>
      <c r="I10" s="2">
        <f t="shared" si="4"/>
        <v>0</v>
      </c>
      <c r="J10" s="2">
        <f t="shared" si="5"/>
        <v>0</v>
      </c>
      <c r="K10" s="2" t="s">
        <v>136</v>
      </c>
    </row>
    <row r="11" spans="1:11" ht="15" customHeight="1">
      <c r="A11" s="2">
        <v>10</v>
      </c>
      <c r="B11" s="2" t="s">
        <v>23</v>
      </c>
      <c r="C11" s="2" t="s">
        <v>24</v>
      </c>
      <c r="D11" s="2" t="s">
        <v>25</v>
      </c>
      <c r="E11" s="2">
        <f t="shared" si="0"/>
        <v>0</v>
      </c>
      <c r="F11" s="2">
        <f t="shared" si="1"/>
        <v>0</v>
      </c>
      <c r="G11" s="2">
        <f t="shared" si="2"/>
        <v>0</v>
      </c>
      <c r="H11" s="2">
        <f t="shared" si="3"/>
        <v>1</v>
      </c>
      <c r="I11" s="2">
        <f t="shared" si="4"/>
        <v>0</v>
      </c>
      <c r="J11" s="2">
        <f t="shared" si="5"/>
        <v>0</v>
      </c>
      <c r="K11" s="2" t="s">
        <v>136</v>
      </c>
    </row>
    <row r="12" spans="1:11" ht="15" customHeight="1">
      <c r="A12" s="2">
        <v>11</v>
      </c>
      <c r="B12" s="2" t="s">
        <v>23</v>
      </c>
      <c r="C12" s="2" t="s">
        <v>24</v>
      </c>
      <c r="D12" s="2" t="s">
        <v>25</v>
      </c>
      <c r="E12" s="2">
        <f t="shared" si="0"/>
        <v>0</v>
      </c>
      <c r="F12" s="2">
        <f t="shared" si="1"/>
        <v>0</v>
      </c>
      <c r="G12" s="2">
        <f t="shared" si="2"/>
        <v>0</v>
      </c>
      <c r="H12" s="2">
        <f t="shared" si="3"/>
        <v>1</v>
      </c>
      <c r="I12" s="2">
        <f t="shared" si="4"/>
        <v>0</v>
      </c>
      <c r="J12" s="2">
        <f t="shared" si="5"/>
        <v>0</v>
      </c>
      <c r="K12" s="2" t="s">
        <v>136</v>
      </c>
    </row>
    <row r="13" spans="1:11" ht="15" customHeight="1">
      <c r="A13" s="2">
        <v>12</v>
      </c>
      <c r="B13" s="2" t="s">
        <v>23</v>
      </c>
      <c r="C13" s="2" t="s">
        <v>24</v>
      </c>
      <c r="D13" s="2" t="s">
        <v>25</v>
      </c>
      <c r="E13" s="2">
        <f t="shared" si="0"/>
        <v>0</v>
      </c>
      <c r="F13" s="2">
        <f t="shared" si="1"/>
        <v>0</v>
      </c>
      <c r="G13" s="2">
        <f t="shared" si="2"/>
        <v>0</v>
      </c>
      <c r="H13" s="2">
        <f t="shared" si="3"/>
        <v>1</v>
      </c>
      <c r="I13" s="2">
        <f t="shared" si="4"/>
        <v>0</v>
      </c>
      <c r="J13" s="2">
        <f t="shared" si="5"/>
        <v>0</v>
      </c>
      <c r="K13" s="2" t="s">
        <v>136</v>
      </c>
    </row>
    <row r="14" spans="1:11" ht="15" customHeight="1">
      <c r="A14" s="2">
        <v>13</v>
      </c>
      <c r="B14" s="2" t="s">
        <v>26</v>
      </c>
      <c r="C14" s="2" t="s">
        <v>16</v>
      </c>
      <c r="D14" s="2" t="s">
        <v>17</v>
      </c>
      <c r="E14" s="2">
        <f t="shared" si="0"/>
        <v>0</v>
      </c>
      <c r="F14" s="2">
        <f t="shared" si="1"/>
        <v>0</v>
      </c>
      <c r="G14" s="2">
        <f t="shared" si="2"/>
        <v>1</v>
      </c>
      <c r="H14" s="2">
        <f t="shared" si="3"/>
        <v>0</v>
      </c>
      <c r="I14" s="2">
        <f t="shared" si="4"/>
        <v>0</v>
      </c>
      <c r="J14" s="2">
        <f t="shared" si="5"/>
        <v>0</v>
      </c>
      <c r="K14" s="2" t="s">
        <v>136</v>
      </c>
    </row>
    <row r="15" spans="1:11" ht="15" customHeight="1">
      <c r="A15" s="2">
        <v>14</v>
      </c>
      <c r="B15" s="2" t="s">
        <v>26</v>
      </c>
      <c r="C15" s="2" t="s">
        <v>16</v>
      </c>
      <c r="D15" s="2" t="s">
        <v>17</v>
      </c>
      <c r="E15" s="2">
        <f t="shared" si="0"/>
        <v>0</v>
      </c>
      <c r="F15" s="2">
        <f t="shared" si="1"/>
        <v>0</v>
      </c>
      <c r="G15" s="2">
        <f t="shared" si="2"/>
        <v>1</v>
      </c>
      <c r="H15" s="2">
        <f t="shared" si="3"/>
        <v>0</v>
      </c>
      <c r="I15" s="2">
        <f t="shared" si="4"/>
        <v>0</v>
      </c>
      <c r="J15" s="2">
        <f t="shared" si="5"/>
        <v>0</v>
      </c>
      <c r="K15" s="2" t="s">
        <v>136</v>
      </c>
    </row>
    <row r="16" spans="1:11" ht="15" customHeight="1">
      <c r="A16" s="2">
        <v>15</v>
      </c>
      <c r="B16" s="2" t="s">
        <v>26</v>
      </c>
      <c r="C16" s="2" t="s">
        <v>16</v>
      </c>
      <c r="D16" s="2" t="s">
        <v>17</v>
      </c>
      <c r="E16" s="2">
        <f t="shared" si="0"/>
        <v>0</v>
      </c>
      <c r="F16" s="2">
        <f t="shared" si="1"/>
        <v>0</v>
      </c>
      <c r="G16" s="2">
        <f t="shared" si="2"/>
        <v>1</v>
      </c>
      <c r="H16" s="2">
        <f t="shared" si="3"/>
        <v>0</v>
      </c>
      <c r="I16" s="2">
        <f t="shared" si="4"/>
        <v>0</v>
      </c>
      <c r="J16" s="2">
        <f t="shared" si="5"/>
        <v>0</v>
      </c>
      <c r="K16" s="2" t="s">
        <v>136</v>
      </c>
    </row>
    <row r="17" spans="1:11" ht="15" customHeight="1">
      <c r="A17" s="2">
        <v>16</v>
      </c>
      <c r="B17" s="2" t="s">
        <v>26</v>
      </c>
      <c r="C17" s="2" t="s">
        <v>16</v>
      </c>
      <c r="D17" s="2" t="s">
        <v>17</v>
      </c>
      <c r="E17" s="2">
        <f t="shared" si="0"/>
        <v>0</v>
      </c>
      <c r="F17" s="2">
        <f t="shared" si="1"/>
        <v>0</v>
      </c>
      <c r="G17" s="2">
        <f t="shared" si="2"/>
        <v>1</v>
      </c>
      <c r="H17" s="2">
        <f t="shared" si="3"/>
        <v>0</v>
      </c>
      <c r="I17" s="2">
        <f t="shared" si="4"/>
        <v>0</v>
      </c>
      <c r="J17" s="2">
        <f t="shared" si="5"/>
        <v>0</v>
      </c>
      <c r="K17" s="2" t="s">
        <v>136</v>
      </c>
    </row>
    <row r="18" spans="1:11" ht="15" customHeight="1">
      <c r="A18" s="2">
        <v>17</v>
      </c>
      <c r="B18" s="2" t="s">
        <v>27</v>
      </c>
      <c r="C18" s="2" t="s">
        <v>28</v>
      </c>
      <c r="D18" s="2" t="s">
        <v>17</v>
      </c>
      <c r="E18" s="2">
        <f t="shared" si="0"/>
        <v>0</v>
      </c>
      <c r="F18" s="2">
        <f t="shared" si="1"/>
        <v>0</v>
      </c>
      <c r="G18" s="2">
        <f t="shared" si="2"/>
        <v>1</v>
      </c>
      <c r="H18" s="2">
        <f t="shared" si="3"/>
        <v>0</v>
      </c>
      <c r="I18" s="2">
        <f t="shared" si="4"/>
        <v>1</v>
      </c>
      <c r="J18" s="2">
        <f t="shared" si="5"/>
        <v>0</v>
      </c>
      <c r="K18" s="2" t="s">
        <v>136</v>
      </c>
    </row>
    <row r="19" spans="1:11" ht="15" customHeight="1">
      <c r="A19" s="2">
        <v>18</v>
      </c>
      <c r="B19" s="2" t="s">
        <v>27</v>
      </c>
      <c r="C19" s="2" t="s">
        <v>28</v>
      </c>
      <c r="D19" s="2" t="s">
        <v>17</v>
      </c>
      <c r="E19" s="2">
        <f t="shared" si="0"/>
        <v>0</v>
      </c>
      <c r="F19" s="2">
        <f t="shared" si="1"/>
        <v>0</v>
      </c>
      <c r="G19" s="2">
        <f t="shared" si="2"/>
        <v>1</v>
      </c>
      <c r="H19" s="2">
        <f t="shared" si="3"/>
        <v>0</v>
      </c>
      <c r="I19" s="2">
        <f t="shared" si="4"/>
        <v>1</v>
      </c>
      <c r="J19" s="2">
        <f t="shared" si="5"/>
        <v>0</v>
      </c>
      <c r="K19" s="2" t="s">
        <v>136</v>
      </c>
    </row>
    <row r="20" spans="1:11" ht="15" customHeight="1">
      <c r="A20" s="2">
        <v>19</v>
      </c>
      <c r="B20" s="2" t="s">
        <v>27</v>
      </c>
      <c r="C20" s="2" t="s">
        <v>28</v>
      </c>
      <c r="D20" s="2" t="s">
        <v>17</v>
      </c>
      <c r="E20" s="2">
        <f t="shared" si="0"/>
        <v>0</v>
      </c>
      <c r="F20" s="2">
        <f t="shared" si="1"/>
        <v>0</v>
      </c>
      <c r="G20" s="2">
        <f t="shared" si="2"/>
        <v>1</v>
      </c>
      <c r="H20" s="2">
        <f t="shared" si="3"/>
        <v>0</v>
      </c>
      <c r="I20" s="2">
        <f t="shared" si="4"/>
        <v>1</v>
      </c>
      <c r="J20" s="2">
        <f t="shared" si="5"/>
        <v>0</v>
      </c>
      <c r="K20" s="2" t="s">
        <v>136</v>
      </c>
    </row>
    <row r="21" spans="1:11" ht="15" customHeight="1">
      <c r="A21" s="2">
        <v>20</v>
      </c>
      <c r="B21" s="2" t="s">
        <v>27</v>
      </c>
      <c r="C21" s="2" t="s">
        <v>28</v>
      </c>
      <c r="D21" s="2" t="s">
        <v>17</v>
      </c>
      <c r="E21" s="2">
        <f t="shared" si="0"/>
        <v>0</v>
      </c>
      <c r="F21" s="2">
        <f t="shared" si="1"/>
        <v>0</v>
      </c>
      <c r="G21" s="2">
        <f t="shared" si="2"/>
        <v>1</v>
      </c>
      <c r="H21" s="2">
        <f t="shared" si="3"/>
        <v>0</v>
      </c>
      <c r="I21" s="2">
        <f t="shared" si="4"/>
        <v>1</v>
      </c>
      <c r="J21" s="2">
        <f t="shared" si="5"/>
        <v>0</v>
      </c>
      <c r="K21" s="2" t="s">
        <v>136</v>
      </c>
    </row>
    <row r="22" spans="1:11" ht="15" customHeight="1">
      <c r="A22" s="2">
        <v>21</v>
      </c>
      <c r="B22" s="2" t="s">
        <v>29</v>
      </c>
      <c r="C22" s="2" t="s">
        <v>24</v>
      </c>
      <c r="D22" s="2" t="s">
        <v>17</v>
      </c>
      <c r="E22" s="2">
        <f t="shared" si="0"/>
        <v>0</v>
      </c>
      <c r="F22" s="2">
        <f t="shared" si="1"/>
        <v>0</v>
      </c>
      <c r="G22" s="2">
        <f t="shared" si="2"/>
        <v>1</v>
      </c>
      <c r="H22" s="2">
        <f t="shared" si="3"/>
        <v>1</v>
      </c>
      <c r="I22" s="2">
        <f t="shared" si="4"/>
        <v>0</v>
      </c>
      <c r="J22" s="2">
        <f t="shared" si="5"/>
        <v>0</v>
      </c>
      <c r="K22" s="2" t="s">
        <v>136</v>
      </c>
    </row>
    <row r="23" spans="1:11" ht="15" customHeight="1">
      <c r="A23" s="2">
        <v>22</v>
      </c>
      <c r="B23" s="2" t="s">
        <v>29</v>
      </c>
      <c r="C23" s="2" t="s">
        <v>24</v>
      </c>
      <c r="D23" s="2" t="s">
        <v>17</v>
      </c>
      <c r="E23" s="2">
        <f t="shared" si="0"/>
        <v>0</v>
      </c>
      <c r="F23" s="2">
        <f t="shared" si="1"/>
        <v>0</v>
      </c>
      <c r="G23" s="2">
        <f t="shared" si="2"/>
        <v>1</v>
      </c>
      <c r="H23" s="2">
        <f t="shared" si="3"/>
        <v>1</v>
      </c>
      <c r="I23" s="2">
        <f t="shared" si="4"/>
        <v>0</v>
      </c>
      <c r="J23" s="2">
        <f t="shared" si="5"/>
        <v>0</v>
      </c>
      <c r="K23" s="2" t="s">
        <v>136</v>
      </c>
    </row>
    <row r="24" spans="1:11" ht="15" customHeight="1">
      <c r="A24" s="2">
        <v>23</v>
      </c>
      <c r="B24" s="2" t="s">
        <v>29</v>
      </c>
      <c r="C24" s="2" t="s">
        <v>24</v>
      </c>
      <c r="D24" s="2" t="s">
        <v>17</v>
      </c>
      <c r="E24" s="2">
        <f t="shared" si="0"/>
        <v>0</v>
      </c>
      <c r="F24" s="2">
        <f t="shared" si="1"/>
        <v>0</v>
      </c>
      <c r="G24" s="2">
        <f t="shared" si="2"/>
        <v>1</v>
      </c>
      <c r="H24" s="2">
        <f t="shared" si="3"/>
        <v>1</v>
      </c>
      <c r="I24" s="2">
        <f t="shared" si="4"/>
        <v>0</v>
      </c>
      <c r="J24" s="2">
        <f t="shared" si="5"/>
        <v>0</v>
      </c>
      <c r="K24" s="2" t="s">
        <v>136</v>
      </c>
    </row>
    <row r="25" spans="1:11" ht="15" customHeight="1">
      <c r="A25" s="2">
        <v>24</v>
      </c>
      <c r="B25" s="2" t="s">
        <v>29</v>
      </c>
      <c r="C25" s="2" t="s">
        <v>24</v>
      </c>
      <c r="D25" s="2" t="s">
        <v>17</v>
      </c>
      <c r="E25" s="2">
        <f t="shared" si="0"/>
        <v>0</v>
      </c>
      <c r="F25" s="2">
        <f t="shared" si="1"/>
        <v>0</v>
      </c>
      <c r="G25" s="2">
        <f t="shared" si="2"/>
        <v>1</v>
      </c>
      <c r="H25" s="2">
        <f t="shared" si="3"/>
        <v>1</v>
      </c>
      <c r="I25" s="2">
        <f t="shared" si="4"/>
        <v>0</v>
      </c>
      <c r="J25" s="2">
        <f t="shared" si="5"/>
        <v>0</v>
      </c>
      <c r="K25" s="2" t="s">
        <v>136</v>
      </c>
    </row>
    <row r="26" spans="1:11" ht="15" customHeight="1">
      <c r="A26" s="2">
        <v>25</v>
      </c>
      <c r="B26" s="2" t="s">
        <v>30</v>
      </c>
      <c r="C26" s="2" t="s">
        <v>31</v>
      </c>
      <c r="D26" s="2" t="s">
        <v>32</v>
      </c>
      <c r="E26" s="2">
        <f t="shared" si="0"/>
        <v>0</v>
      </c>
      <c r="F26" s="2">
        <f t="shared" si="1"/>
        <v>1</v>
      </c>
      <c r="G26" s="2">
        <f t="shared" si="2"/>
        <v>0</v>
      </c>
      <c r="H26" s="2">
        <f t="shared" si="3"/>
        <v>0</v>
      </c>
      <c r="I26" s="2">
        <f t="shared" si="4"/>
        <v>0</v>
      </c>
      <c r="J26" s="2">
        <f t="shared" si="5"/>
        <v>1</v>
      </c>
      <c r="K26" s="2" t="s">
        <v>136</v>
      </c>
    </row>
    <row r="27" spans="1:11" ht="15" customHeight="1">
      <c r="A27" s="2">
        <v>26</v>
      </c>
      <c r="B27" s="2" t="s">
        <v>30</v>
      </c>
      <c r="C27" s="2" t="s">
        <v>31</v>
      </c>
      <c r="D27" s="2" t="s">
        <v>32</v>
      </c>
      <c r="E27" s="2">
        <f t="shared" si="0"/>
        <v>0</v>
      </c>
      <c r="F27" s="2">
        <f t="shared" si="1"/>
        <v>1</v>
      </c>
      <c r="G27" s="2">
        <f t="shared" si="2"/>
        <v>0</v>
      </c>
      <c r="H27" s="2">
        <f t="shared" si="3"/>
        <v>0</v>
      </c>
      <c r="I27" s="2">
        <f t="shared" si="4"/>
        <v>0</v>
      </c>
      <c r="J27" s="2">
        <f t="shared" si="5"/>
        <v>1</v>
      </c>
      <c r="K27" s="2" t="s">
        <v>136</v>
      </c>
    </row>
    <row r="28" spans="1:11" ht="15" customHeight="1">
      <c r="A28" s="2">
        <v>27</v>
      </c>
      <c r="B28" s="2" t="s">
        <v>30</v>
      </c>
      <c r="C28" s="2" t="s">
        <v>31</v>
      </c>
      <c r="D28" s="2" t="s">
        <v>32</v>
      </c>
      <c r="E28" s="2">
        <f t="shared" si="0"/>
        <v>0</v>
      </c>
      <c r="F28" s="2">
        <f t="shared" si="1"/>
        <v>1</v>
      </c>
      <c r="G28" s="2">
        <f t="shared" si="2"/>
        <v>0</v>
      </c>
      <c r="H28" s="2">
        <f t="shared" si="3"/>
        <v>0</v>
      </c>
      <c r="I28" s="2">
        <f t="shared" si="4"/>
        <v>0</v>
      </c>
      <c r="J28" s="2">
        <f t="shared" si="5"/>
        <v>1</v>
      </c>
      <c r="K28" s="2" t="s">
        <v>136</v>
      </c>
    </row>
    <row r="29" spans="1:11" ht="15" customHeight="1">
      <c r="A29" s="2">
        <v>28</v>
      </c>
      <c r="B29" s="2" t="s">
        <v>30</v>
      </c>
      <c r="C29" s="2" t="s">
        <v>31</v>
      </c>
      <c r="D29" s="2" t="s">
        <v>32</v>
      </c>
      <c r="E29" s="2">
        <f t="shared" si="0"/>
        <v>0</v>
      </c>
      <c r="F29" s="2">
        <f t="shared" si="1"/>
        <v>1</v>
      </c>
      <c r="G29" s="2">
        <f t="shared" si="2"/>
        <v>0</v>
      </c>
      <c r="H29" s="2">
        <f t="shared" si="3"/>
        <v>0</v>
      </c>
      <c r="I29" s="2">
        <f t="shared" si="4"/>
        <v>0</v>
      </c>
      <c r="J29" s="2">
        <f t="shared" si="5"/>
        <v>1</v>
      </c>
      <c r="K29" s="2" t="s">
        <v>136</v>
      </c>
    </row>
    <row r="30" spans="1:11" ht="15" customHeight="1">
      <c r="A30" s="2">
        <v>29</v>
      </c>
      <c r="B30" s="2" t="s">
        <v>33</v>
      </c>
      <c r="C30" s="2" t="s">
        <v>16</v>
      </c>
      <c r="D30" s="2" t="s">
        <v>17</v>
      </c>
      <c r="E30" s="2">
        <f t="shared" si="0"/>
        <v>0</v>
      </c>
      <c r="F30" s="2">
        <f t="shared" si="1"/>
        <v>0</v>
      </c>
      <c r="G30" s="2">
        <f t="shared" si="2"/>
        <v>1</v>
      </c>
      <c r="H30" s="2">
        <f t="shared" si="3"/>
        <v>0</v>
      </c>
      <c r="I30" s="2">
        <f t="shared" si="4"/>
        <v>0</v>
      </c>
      <c r="J30" s="2">
        <f t="shared" si="5"/>
        <v>0</v>
      </c>
      <c r="K30" s="2" t="s">
        <v>136</v>
      </c>
    </row>
    <row r="31" spans="1:11" ht="15" customHeight="1">
      <c r="A31" s="2">
        <v>30</v>
      </c>
      <c r="B31" s="2" t="s">
        <v>33</v>
      </c>
      <c r="C31" s="2" t="s">
        <v>16</v>
      </c>
      <c r="D31" s="2" t="s">
        <v>17</v>
      </c>
      <c r="E31" s="2">
        <f t="shared" si="0"/>
        <v>0</v>
      </c>
      <c r="F31" s="2">
        <f t="shared" si="1"/>
        <v>0</v>
      </c>
      <c r="G31" s="2">
        <f t="shared" si="2"/>
        <v>1</v>
      </c>
      <c r="H31" s="2">
        <f t="shared" si="3"/>
        <v>0</v>
      </c>
      <c r="I31" s="2">
        <f t="shared" si="4"/>
        <v>0</v>
      </c>
      <c r="J31" s="2">
        <f t="shared" si="5"/>
        <v>0</v>
      </c>
      <c r="K31" s="2" t="s">
        <v>136</v>
      </c>
    </row>
    <row r="32" spans="1:11" ht="15" customHeight="1">
      <c r="A32" s="2">
        <v>31</v>
      </c>
      <c r="B32" s="2" t="s">
        <v>33</v>
      </c>
      <c r="C32" s="2" t="s">
        <v>16</v>
      </c>
      <c r="D32" s="2" t="s">
        <v>17</v>
      </c>
      <c r="E32" s="2">
        <f t="shared" si="0"/>
        <v>0</v>
      </c>
      <c r="F32" s="2">
        <f t="shared" si="1"/>
        <v>0</v>
      </c>
      <c r="G32" s="2">
        <f t="shared" si="2"/>
        <v>1</v>
      </c>
      <c r="H32" s="2">
        <f t="shared" si="3"/>
        <v>0</v>
      </c>
      <c r="I32" s="2">
        <f t="shared" si="4"/>
        <v>0</v>
      </c>
      <c r="J32" s="2">
        <f t="shared" si="5"/>
        <v>0</v>
      </c>
      <c r="K32" s="2" t="s">
        <v>136</v>
      </c>
    </row>
    <row r="33" spans="1:11" ht="15" customHeight="1">
      <c r="A33" s="2">
        <v>32</v>
      </c>
      <c r="B33" s="2" t="s">
        <v>33</v>
      </c>
      <c r="C33" s="2" t="s">
        <v>16</v>
      </c>
      <c r="D33" s="2" t="s">
        <v>17</v>
      </c>
      <c r="E33" s="2">
        <f t="shared" si="0"/>
        <v>0</v>
      </c>
      <c r="F33" s="2">
        <f t="shared" si="1"/>
        <v>0</v>
      </c>
      <c r="G33" s="2">
        <f t="shared" si="2"/>
        <v>1</v>
      </c>
      <c r="H33" s="2">
        <f t="shared" si="3"/>
        <v>0</v>
      </c>
      <c r="I33" s="2">
        <f t="shared" si="4"/>
        <v>0</v>
      </c>
      <c r="J33" s="2">
        <f t="shared" si="5"/>
        <v>0</v>
      </c>
      <c r="K33" s="2" t="s">
        <v>136</v>
      </c>
    </row>
    <row r="34" spans="1:11" ht="15" customHeight="1">
      <c r="A34" s="2">
        <v>33</v>
      </c>
      <c r="B34" s="2" t="s">
        <v>34</v>
      </c>
      <c r="C34" s="2" t="s">
        <v>24</v>
      </c>
      <c r="D34" s="2" t="s">
        <v>17</v>
      </c>
      <c r="E34" s="2">
        <f t="shared" si="0"/>
        <v>0</v>
      </c>
      <c r="F34" s="2">
        <f t="shared" si="1"/>
        <v>0</v>
      </c>
      <c r="G34" s="2">
        <f t="shared" si="2"/>
        <v>1</v>
      </c>
      <c r="H34" s="2">
        <f t="shared" si="3"/>
        <v>1</v>
      </c>
      <c r="I34" s="2">
        <f t="shared" si="4"/>
        <v>0</v>
      </c>
      <c r="J34" s="2">
        <f t="shared" si="5"/>
        <v>0</v>
      </c>
      <c r="K34" s="2" t="s">
        <v>136</v>
      </c>
    </row>
    <row r="35" spans="1:11" ht="15" customHeight="1">
      <c r="A35" s="2">
        <v>34</v>
      </c>
      <c r="B35" s="2" t="s">
        <v>34</v>
      </c>
      <c r="C35" s="2" t="s">
        <v>24</v>
      </c>
      <c r="D35" s="2" t="s">
        <v>17</v>
      </c>
      <c r="E35" s="2">
        <f t="shared" si="0"/>
        <v>0</v>
      </c>
      <c r="F35" s="2">
        <f t="shared" si="1"/>
        <v>0</v>
      </c>
      <c r="G35" s="2">
        <f t="shared" si="2"/>
        <v>1</v>
      </c>
      <c r="H35" s="2">
        <f t="shared" si="3"/>
        <v>1</v>
      </c>
      <c r="I35" s="2">
        <f t="shared" si="4"/>
        <v>0</v>
      </c>
      <c r="J35" s="2">
        <f t="shared" si="5"/>
        <v>0</v>
      </c>
      <c r="K35" s="2" t="s">
        <v>136</v>
      </c>
    </row>
    <row r="36" spans="1:11" ht="15" customHeight="1">
      <c r="A36" s="2">
        <v>35</v>
      </c>
      <c r="B36" s="2" t="s">
        <v>34</v>
      </c>
      <c r="C36" s="2" t="s">
        <v>24</v>
      </c>
      <c r="D36" s="2" t="s">
        <v>17</v>
      </c>
      <c r="E36" s="2">
        <f t="shared" si="0"/>
        <v>0</v>
      </c>
      <c r="F36" s="2">
        <f t="shared" si="1"/>
        <v>0</v>
      </c>
      <c r="G36" s="2">
        <f t="shared" si="2"/>
        <v>1</v>
      </c>
      <c r="H36" s="2">
        <f t="shared" si="3"/>
        <v>1</v>
      </c>
      <c r="I36" s="2">
        <f t="shared" si="4"/>
        <v>0</v>
      </c>
      <c r="J36" s="2">
        <f t="shared" si="5"/>
        <v>0</v>
      </c>
      <c r="K36" s="2" t="s">
        <v>136</v>
      </c>
    </row>
    <row r="37" spans="1:11" ht="15" customHeight="1">
      <c r="A37" s="2">
        <v>36</v>
      </c>
      <c r="B37" s="2" t="s">
        <v>34</v>
      </c>
      <c r="C37" s="2" t="s">
        <v>24</v>
      </c>
      <c r="D37" s="2" t="s">
        <v>17</v>
      </c>
      <c r="E37" s="2">
        <f t="shared" si="0"/>
        <v>0</v>
      </c>
      <c r="F37" s="2">
        <f t="shared" si="1"/>
        <v>0</v>
      </c>
      <c r="G37" s="2">
        <f t="shared" si="2"/>
        <v>1</v>
      </c>
      <c r="H37" s="2">
        <f t="shared" si="3"/>
        <v>1</v>
      </c>
      <c r="I37" s="2">
        <f t="shared" si="4"/>
        <v>0</v>
      </c>
      <c r="J37" s="2">
        <f t="shared" si="5"/>
        <v>0</v>
      </c>
      <c r="K37" s="2" t="s">
        <v>136</v>
      </c>
    </row>
    <row r="38" spans="1:11" ht="15" customHeight="1">
      <c r="A38" s="2">
        <v>37</v>
      </c>
      <c r="B38" s="2" t="s">
        <v>35</v>
      </c>
      <c r="C38" s="2" t="s">
        <v>24</v>
      </c>
      <c r="D38" s="2" t="s">
        <v>32</v>
      </c>
      <c r="E38" s="2">
        <f t="shared" si="0"/>
        <v>0</v>
      </c>
      <c r="F38" s="2">
        <f t="shared" si="1"/>
        <v>1</v>
      </c>
      <c r="G38" s="2">
        <f t="shared" si="2"/>
        <v>0</v>
      </c>
      <c r="H38" s="2">
        <f t="shared" si="3"/>
        <v>1</v>
      </c>
      <c r="I38" s="2">
        <f t="shared" si="4"/>
        <v>0</v>
      </c>
      <c r="J38" s="2">
        <f t="shared" si="5"/>
        <v>0</v>
      </c>
      <c r="K38" s="2" t="s">
        <v>136</v>
      </c>
    </row>
    <row r="39" spans="1:11" ht="15" customHeight="1">
      <c r="A39" s="2">
        <v>38</v>
      </c>
      <c r="B39" s="2" t="s">
        <v>35</v>
      </c>
      <c r="C39" s="2" t="s">
        <v>24</v>
      </c>
      <c r="D39" s="2" t="s">
        <v>32</v>
      </c>
      <c r="E39" s="2">
        <f t="shared" si="0"/>
        <v>0</v>
      </c>
      <c r="F39" s="2">
        <f t="shared" si="1"/>
        <v>1</v>
      </c>
      <c r="G39" s="2">
        <f t="shared" si="2"/>
        <v>0</v>
      </c>
      <c r="H39" s="2">
        <f t="shared" si="3"/>
        <v>1</v>
      </c>
      <c r="I39" s="2">
        <f t="shared" si="4"/>
        <v>0</v>
      </c>
      <c r="J39" s="2">
        <f t="shared" si="5"/>
        <v>0</v>
      </c>
      <c r="K39" s="2" t="s">
        <v>136</v>
      </c>
    </row>
    <row r="40" spans="1:11" ht="15" customHeight="1">
      <c r="A40" s="2">
        <v>39</v>
      </c>
      <c r="B40" s="2" t="s">
        <v>35</v>
      </c>
      <c r="C40" s="2" t="s">
        <v>24</v>
      </c>
      <c r="D40" s="2" t="s">
        <v>32</v>
      </c>
      <c r="E40" s="2">
        <f t="shared" si="0"/>
        <v>0</v>
      </c>
      <c r="F40" s="2">
        <f t="shared" si="1"/>
        <v>1</v>
      </c>
      <c r="G40" s="2">
        <f t="shared" si="2"/>
        <v>0</v>
      </c>
      <c r="H40" s="2">
        <f t="shared" si="3"/>
        <v>1</v>
      </c>
      <c r="I40" s="2">
        <f t="shared" si="4"/>
        <v>0</v>
      </c>
      <c r="J40" s="2">
        <f t="shared" si="5"/>
        <v>0</v>
      </c>
      <c r="K40" s="2" t="s">
        <v>136</v>
      </c>
    </row>
    <row r="41" spans="1:11" ht="15" customHeight="1">
      <c r="A41" s="2">
        <v>40</v>
      </c>
      <c r="B41" s="2" t="s">
        <v>35</v>
      </c>
      <c r="C41" s="2" t="s">
        <v>24</v>
      </c>
      <c r="D41" s="2" t="s">
        <v>32</v>
      </c>
      <c r="E41" s="2">
        <f t="shared" si="0"/>
        <v>0</v>
      </c>
      <c r="F41" s="2">
        <f t="shared" si="1"/>
        <v>1</v>
      </c>
      <c r="G41" s="2">
        <f t="shared" si="2"/>
        <v>0</v>
      </c>
      <c r="H41" s="2">
        <f t="shared" si="3"/>
        <v>1</v>
      </c>
      <c r="I41" s="2">
        <f t="shared" si="4"/>
        <v>0</v>
      </c>
      <c r="J41" s="2">
        <f t="shared" si="5"/>
        <v>0</v>
      </c>
      <c r="K41" s="2" t="s">
        <v>136</v>
      </c>
    </row>
    <row r="42" spans="1:11" ht="15" customHeight="1">
      <c r="A42" s="2">
        <v>41</v>
      </c>
      <c r="B42" s="2" t="s">
        <v>36</v>
      </c>
      <c r="C42" s="2" t="s">
        <v>16</v>
      </c>
      <c r="D42" s="2" t="s">
        <v>32</v>
      </c>
      <c r="E42" s="2">
        <f t="shared" si="0"/>
        <v>0</v>
      </c>
      <c r="F42" s="2">
        <f t="shared" si="1"/>
        <v>1</v>
      </c>
      <c r="G42" s="2">
        <f t="shared" si="2"/>
        <v>0</v>
      </c>
      <c r="H42" s="2">
        <f t="shared" si="3"/>
        <v>0</v>
      </c>
      <c r="I42" s="2">
        <f t="shared" si="4"/>
        <v>0</v>
      </c>
      <c r="J42" s="2">
        <f t="shared" si="5"/>
        <v>0</v>
      </c>
      <c r="K42" s="2" t="s">
        <v>136</v>
      </c>
    </row>
    <row r="43" spans="1:11" ht="15" customHeight="1">
      <c r="A43" s="2">
        <v>42</v>
      </c>
      <c r="B43" s="2" t="s">
        <v>36</v>
      </c>
      <c r="C43" s="2" t="s">
        <v>16</v>
      </c>
      <c r="D43" s="2" t="s">
        <v>32</v>
      </c>
      <c r="E43" s="2">
        <f t="shared" si="0"/>
        <v>0</v>
      </c>
      <c r="F43" s="2">
        <f t="shared" si="1"/>
        <v>1</v>
      </c>
      <c r="G43" s="2">
        <f t="shared" si="2"/>
        <v>0</v>
      </c>
      <c r="H43" s="2">
        <f t="shared" si="3"/>
        <v>0</v>
      </c>
      <c r="I43" s="2">
        <f t="shared" si="4"/>
        <v>0</v>
      </c>
      <c r="J43" s="2">
        <f t="shared" si="5"/>
        <v>0</v>
      </c>
      <c r="K43" s="2" t="s">
        <v>136</v>
      </c>
    </row>
    <row r="44" spans="1:11" ht="15" customHeight="1">
      <c r="A44" s="2">
        <v>43</v>
      </c>
      <c r="B44" s="2" t="s">
        <v>36</v>
      </c>
      <c r="C44" s="2" t="s">
        <v>16</v>
      </c>
      <c r="D44" s="2" t="s">
        <v>32</v>
      </c>
      <c r="E44" s="2">
        <f t="shared" si="0"/>
        <v>0</v>
      </c>
      <c r="F44" s="2">
        <f t="shared" si="1"/>
        <v>1</v>
      </c>
      <c r="G44" s="2">
        <f t="shared" si="2"/>
        <v>0</v>
      </c>
      <c r="H44" s="2">
        <f t="shared" si="3"/>
        <v>0</v>
      </c>
      <c r="I44" s="2">
        <f t="shared" si="4"/>
        <v>0</v>
      </c>
      <c r="J44" s="2">
        <f t="shared" si="5"/>
        <v>0</v>
      </c>
      <c r="K44" s="2" t="s">
        <v>136</v>
      </c>
    </row>
    <row r="45" spans="1:11" ht="15" customHeight="1">
      <c r="A45" s="2">
        <v>44</v>
      </c>
      <c r="B45" s="2" t="s">
        <v>36</v>
      </c>
      <c r="C45" s="2" t="s">
        <v>16</v>
      </c>
      <c r="D45" s="2" t="s">
        <v>32</v>
      </c>
      <c r="E45" s="2">
        <f t="shared" si="0"/>
        <v>0</v>
      </c>
      <c r="F45" s="2">
        <f t="shared" si="1"/>
        <v>1</v>
      </c>
      <c r="G45" s="2">
        <f t="shared" si="2"/>
        <v>0</v>
      </c>
      <c r="H45" s="2">
        <f t="shared" si="3"/>
        <v>0</v>
      </c>
      <c r="I45" s="2">
        <f t="shared" si="4"/>
        <v>0</v>
      </c>
      <c r="J45" s="2">
        <f t="shared" si="5"/>
        <v>0</v>
      </c>
      <c r="K45" s="2" t="s">
        <v>136</v>
      </c>
    </row>
    <row r="46" spans="1:11" ht="15" customHeight="1">
      <c r="A46" s="2">
        <v>45</v>
      </c>
      <c r="B46" s="2" t="s">
        <v>37</v>
      </c>
      <c r="C46" s="2" t="s">
        <v>31</v>
      </c>
      <c r="D46" s="2" t="s">
        <v>17</v>
      </c>
      <c r="E46" s="2">
        <f t="shared" si="0"/>
        <v>0</v>
      </c>
      <c r="F46" s="2">
        <f t="shared" si="1"/>
        <v>0</v>
      </c>
      <c r="G46" s="2">
        <f t="shared" si="2"/>
        <v>1</v>
      </c>
      <c r="H46" s="2">
        <f t="shared" si="3"/>
        <v>0</v>
      </c>
      <c r="I46" s="2">
        <f t="shared" si="4"/>
        <v>0</v>
      </c>
      <c r="J46" s="2">
        <f t="shared" si="5"/>
        <v>1</v>
      </c>
      <c r="K46" s="2" t="s">
        <v>136</v>
      </c>
    </row>
    <row r="47" spans="1:11" ht="15" customHeight="1">
      <c r="A47" s="2">
        <v>46</v>
      </c>
      <c r="B47" s="2" t="s">
        <v>37</v>
      </c>
      <c r="C47" s="2" t="s">
        <v>31</v>
      </c>
      <c r="D47" s="2" t="s">
        <v>17</v>
      </c>
      <c r="E47" s="2">
        <f t="shared" si="0"/>
        <v>0</v>
      </c>
      <c r="F47" s="2">
        <f t="shared" si="1"/>
        <v>0</v>
      </c>
      <c r="G47" s="2">
        <f t="shared" si="2"/>
        <v>1</v>
      </c>
      <c r="H47" s="2">
        <f t="shared" si="3"/>
        <v>0</v>
      </c>
      <c r="I47" s="2">
        <f t="shared" si="4"/>
        <v>0</v>
      </c>
      <c r="J47" s="2">
        <f t="shared" si="5"/>
        <v>1</v>
      </c>
      <c r="K47" s="2" t="s">
        <v>136</v>
      </c>
    </row>
    <row r="48" spans="1:11" ht="15" customHeight="1">
      <c r="A48" s="2">
        <v>47</v>
      </c>
      <c r="B48" s="2" t="s">
        <v>37</v>
      </c>
      <c r="C48" s="2" t="s">
        <v>31</v>
      </c>
      <c r="D48" s="2" t="s">
        <v>17</v>
      </c>
      <c r="E48" s="2">
        <f t="shared" si="0"/>
        <v>0</v>
      </c>
      <c r="F48" s="2">
        <f t="shared" si="1"/>
        <v>0</v>
      </c>
      <c r="G48" s="2">
        <f t="shared" si="2"/>
        <v>1</v>
      </c>
      <c r="H48" s="2">
        <f t="shared" si="3"/>
        <v>0</v>
      </c>
      <c r="I48" s="2">
        <f t="shared" si="4"/>
        <v>0</v>
      </c>
      <c r="J48" s="2">
        <f t="shared" si="5"/>
        <v>1</v>
      </c>
      <c r="K48" s="2" t="s">
        <v>136</v>
      </c>
    </row>
    <row r="49" spans="1:11" ht="15" customHeight="1">
      <c r="A49" s="2">
        <v>48</v>
      </c>
      <c r="B49" s="2" t="s">
        <v>37</v>
      </c>
      <c r="C49" s="2" t="s">
        <v>31</v>
      </c>
      <c r="D49" s="2" t="s">
        <v>17</v>
      </c>
      <c r="E49" s="2">
        <f t="shared" si="0"/>
        <v>0</v>
      </c>
      <c r="F49" s="2">
        <f t="shared" si="1"/>
        <v>0</v>
      </c>
      <c r="G49" s="2">
        <f t="shared" si="2"/>
        <v>1</v>
      </c>
      <c r="H49" s="2">
        <f t="shared" si="3"/>
        <v>0</v>
      </c>
      <c r="I49" s="2">
        <f t="shared" si="4"/>
        <v>0</v>
      </c>
      <c r="J49" s="2">
        <f t="shared" si="5"/>
        <v>1</v>
      </c>
      <c r="K49" s="2" t="s">
        <v>136</v>
      </c>
    </row>
    <row r="50" spans="1:11" ht="15" customHeight="1">
      <c r="A50" s="2">
        <v>49</v>
      </c>
      <c r="B50" s="2" t="s">
        <v>38</v>
      </c>
      <c r="C50" s="2" t="s">
        <v>24</v>
      </c>
      <c r="D50" s="2" t="s">
        <v>32</v>
      </c>
      <c r="E50" s="2">
        <f t="shared" si="0"/>
        <v>0</v>
      </c>
      <c r="F50" s="2">
        <f t="shared" si="1"/>
        <v>1</v>
      </c>
      <c r="G50" s="2">
        <f t="shared" si="2"/>
        <v>0</v>
      </c>
      <c r="H50" s="2">
        <f t="shared" si="3"/>
        <v>1</v>
      </c>
      <c r="I50" s="2">
        <f t="shared" si="4"/>
        <v>0</v>
      </c>
      <c r="J50" s="2">
        <f t="shared" si="5"/>
        <v>0</v>
      </c>
      <c r="K50" s="2" t="s">
        <v>136</v>
      </c>
    </row>
    <row r="51" spans="1:11" ht="15" customHeight="1">
      <c r="A51" s="2">
        <v>50</v>
      </c>
      <c r="B51" s="2" t="s">
        <v>38</v>
      </c>
      <c r="C51" s="2" t="s">
        <v>24</v>
      </c>
      <c r="D51" s="2" t="s">
        <v>32</v>
      </c>
      <c r="E51" s="2">
        <f t="shared" si="0"/>
        <v>0</v>
      </c>
      <c r="F51" s="2">
        <f t="shared" si="1"/>
        <v>1</v>
      </c>
      <c r="G51" s="2">
        <f t="shared" si="2"/>
        <v>0</v>
      </c>
      <c r="H51" s="2">
        <f t="shared" si="3"/>
        <v>1</v>
      </c>
      <c r="I51" s="2">
        <f t="shared" si="4"/>
        <v>0</v>
      </c>
      <c r="J51" s="2">
        <f t="shared" si="5"/>
        <v>0</v>
      </c>
      <c r="K51" s="2" t="s">
        <v>136</v>
      </c>
    </row>
    <row r="52" spans="1:11" ht="15" customHeight="1">
      <c r="A52" s="2">
        <v>51</v>
      </c>
      <c r="B52" s="2" t="s">
        <v>38</v>
      </c>
      <c r="C52" s="2" t="s">
        <v>24</v>
      </c>
      <c r="D52" s="2" t="s">
        <v>32</v>
      </c>
      <c r="E52" s="2">
        <f t="shared" si="0"/>
        <v>0</v>
      </c>
      <c r="F52" s="2">
        <f t="shared" si="1"/>
        <v>1</v>
      </c>
      <c r="G52" s="2">
        <f t="shared" si="2"/>
        <v>0</v>
      </c>
      <c r="H52" s="2">
        <f t="shared" si="3"/>
        <v>1</v>
      </c>
      <c r="I52" s="2">
        <f t="shared" si="4"/>
        <v>0</v>
      </c>
      <c r="J52" s="2">
        <f t="shared" si="5"/>
        <v>0</v>
      </c>
      <c r="K52" s="2" t="s">
        <v>136</v>
      </c>
    </row>
    <row r="53" spans="1:11" ht="15" customHeight="1">
      <c r="A53" s="2">
        <v>52</v>
      </c>
      <c r="B53" s="2" t="s">
        <v>38</v>
      </c>
      <c r="C53" s="2" t="s">
        <v>24</v>
      </c>
      <c r="D53" s="2" t="s">
        <v>32</v>
      </c>
      <c r="E53" s="2">
        <f t="shared" si="0"/>
        <v>0</v>
      </c>
      <c r="F53" s="2">
        <f t="shared" si="1"/>
        <v>1</v>
      </c>
      <c r="G53" s="2">
        <f t="shared" si="2"/>
        <v>0</v>
      </c>
      <c r="H53" s="2">
        <f t="shared" si="3"/>
        <v>1</v>
      </c>
      <c r="I53" s="2">
        <f t="shared" si="4"/>
        <v>0</v>
      </c>
      <c r="J53" s="2">
        <f t="shared" si="5"/>
        <v>0</v>
      </c>
      <c r="K53" s="2" t="s">
        <v>136</v>
      </c>
    </row>
    <row r="54" spans="1:11" ht="15" customHeight="1">
      <c r="A54" s="2">
        <v>53</v>
      </c>
      <c r="B54" s="2" t="s">
        <v>39</v>
      </c>
      <c r="C54" s="2" t="s">
        <v>31</v>
      </c>
      <c r="D54" s="2" t="s">
        <v>22</v>
      </c>
      <c r="E54" s="2">
        <f t="shared" si="0"/>
        <v>1</v>
      </c>
      <c r="F54" s="2">
        <f t="shared" si="1"/>
        <v>0</v>
      </c>
      <c r="G54" s="2">
        <f t="shared" si="2"/>
        <v>0</v>
      </c>
      <c r="H54" s="2">
        <f t="shared" si="3"/>
        <v>0</v>
      </c>
      <c r="I54" s="2">
        <f t="shared" si="4"/>
        <v>0</v>
      </c>
      <c r="J54" s="2">
        <f t="shared" si="5"/>
        <v>1</v>
      </c>
      <c r="K54" s="2" t="s">
        <v>136</v>
      </c>
    </row>
    <row r="55" spans="1:11" ht="15" customHeight="1">
      <c r="A55" s="2">
        <v>54</v>
      </c>
      <c r="B55" s="2" t="s">
        <v>39</v>
      </c>
      <c r="C55" s="2" t="s">
        <v>31</v>
      </c>
      <c r="D55" s="2" t="s">
        <v>22</v>
      </c>
      <c r="E55" s="2">
        <f t="shared" si="0"/>
        <v>1</v>
      </c>
      <c r="F55" s="2">
        <f t="shared" si="1"/>
        <v>0</v>
      </c>
      <c r="G55" s="2">
        <f t="shared" si="2"/>
        <v>0</v>
      </c>
      <c r="H55" s="2">
        <f t="shared" si="3"/>
        <v>0</v>
      </c>
      <c r="I55" s="2">
        <f t="shared" si="4"/>
        <v>0</v>
      </c>
      <c r="J55" s="2">
        <f t="shared" si="5"/>
        <v>1</v>
      </c>
      <c r="K55" s="2" t="s">
        <v>136</v>
      </c>
    </row>
    <row r="56" spans="1:11" ht="15" customHeight="1">
      <c r="A56" s="2">
        <v>55</v>
      </c>
      <c r="B56" s="2" t="s">
        <v>39</v>
      </c>
      <c r="C56" s="2" t="s">
        <v>31</v>
      </c>
      <c r="D56" s="2" t="s">
        <v>22</v>
      </c>
      <c r="E56" s="2">
        <f t="shared" si="0"/>
        <v>1</v>
      </c>
      <c r="F56" s="2">
        <f t="shared" si="1"/>
        <v>0</v>
      </c>
      <c r="G56" s="2">
        <f t="shared" si="2"/>
        <v>0</v>
      </c>
      <c r="H56" s="2">
        <f t="shared" si="3"/>
        <v>0</v>
      </c>
      <c r="I56" s="2">
        <f t="shared" si="4"/>
        <v>0</v>
      </c>
      <c r="J56" s="2">
        <f t="shared" si="5"/>
        <v>1</v>
      </c>
      <c r="K56" s="2" t="s">
        <v>136</v>
      </c>
    </row>
    <row r="57" spans="1:11" ht="15" customHeight="1">
      <c r="A57" s="2">
        <v>56</v>
      </c>
      <c r="B57" s="2" t="s">
        <v>39</v>
      </c>
      <c r="C57" s="2" t="s">
        <v>31</v>
      </c>
      <c r="D57" s="2" t="s">
        <v>22</v>
      </c>
      <c r="E57" s="2">
        <f t="shared" si="0"/>
        <v>1</v>
      </c>
      <c r="F57" s="2">
        <f t="shared" si="1"/>
        <v>0</v>
      </c>
      <c r="G57" s="2">
        <f t="shared" si="2"/>
        <v>0</v>
      </c>
      <c r="H57" s="2">
        <f t="shared" si="3"/>
        <v>0</v>
      </c>
      <c r="I57" s="2">
        <f t="shared" si="4"/>
        <v>0</v>
      </c>
      <c r="J57" s="2">
        <f t="shared" si="5"/>
        <v>1</v>
      </c>
      <c r="K57" s="2" t="s">
        <v>136</v>
      </c>
    </row>
    <row r="58" spans="1:11" ht="15" customHeight="1">
      <c r="A58" s="2">
        <v>57</v>
      </c>
      <c r="B58" s="2" t="s">
        <v>40</v>
      </c>
      <c r="C58" s="2" t="s">
        <v>16</v>
      </c>
      <c r="D58" s="2" t="s">
        <v>25</v>
      </c>
      <c r="E58" s="2">
        <f t="shared" si="0"/>
        <v>0</v>
      </c>
      <c r="F58" s="2">
        <f t="shared" si="1"/>
        <v>0</v>
      </c>
      <c r="G58" s="2">
        <f t="shared" si="2"/>
        <v>0</v>
      </c>
      <c r="H58" s="2">
        <f t="shared" si="3"/>
        <v>0</v>
      </c>
      <c r="I58" s="2">
        <f t="shared" si="4"/>
        <v>0</v>
      </c>
      <c r="J58" s="2">
        <f t="shared" si="5"/>
        <v>0</v>
      </c>
      <c r="K58" s="2" t="s">
        <v>136</v>
      </c>
    </row>
    <row r="59" spans="1:11" ht="15" customHeight="1">
      <c r="A59" s="2">
        <v>58</v>
      </c>
      <c r="B59" s="2" t="s">
        <v>40</v>
      </c>
      <c r="C59" s="2" t="s">
        <v>16</v>
      </c>
      <c r="D59" s="2" t="s">
        <v>25</v>
      </c>
      <c r="E59" s="2">
        <f t="shared" si="0"/>
        <v>0</v>
      </c>
      <c r="F59" s="2">
        <f t="shared" si="1"/>
        <v>0</v>
      </c>
      <c r="G59" s="2">
        <f t="shared" si="2"/>
        <v>0</v>
      </c>
      <c r="H59" s="2">
        <f t="shared" si="3"/>
        <v>0</v>
      </c>
      <c r="I59" s="2">
        <f t="shared" si="4"/>
        <v>0</v>
      </c>
      <c r="J59" s="2">
        <f t="shared" si="5"/>
        <v>0</v>
      </c>
      <c r="K59" s="2" t="s">
        <v>136</v>
      </c>
    </row>
    <row r="60" spans="1:11" ht="15" customHeight="1">
      <c r="A60" s="2">
        <v>59</v>
      </c>
      <c r="B60" s="2" t="s">
        <v>40</v>
      </c>
      <c r="C60" s="2" t="s">
        <v>16</v>
      </c>
      <c r="D60" s="2" t="s">
        <v>25</v>
      </c>
      <c r="E60" s="2">
        <f t="shared" si="0"/>
        <v>0</v>
      </c>
      <c r="F60" s="2">
        <f t="shared" si="1"/>
        <v>0</v>
      </c>
      <c r="G60" s="2">
        <f t="shared" si="2"/>
        <v>0</v>
      </c>
      <c r="H60" s="2">
        <f t="shared" si="3"/>
        <v>0</v>
      </c>
      <c r="I60" s="2">
        <f t="shared" si="4"/>
        <v>0</v>
      </c>
      <c r="J60" s="2">
        <f t="shared" si="5"/>
        <v>0</v>
      </c>
      <c r="K60" s="2" t="s">
        <v>136</v>
      </c>
    </row>
    <row r="61" spans="1:11" ht="15" customHeight="1">
      <c r="A61" s="2">
        <v>60</v>
      </c>
      <c r="B61" s="2" t="s">
        <v>40</v>
      </c>
      <c r="C61" s="2" t="s">
        <v>16</v>
      </c>
      <c r="D61" s="2" t="s">
        <v>25</v>
      </c>
      <c r="E61" s="2">
        <f t="shared" si="0"/>
        <v>0</v>
      </c>
      <c r="F61" s="2">
        <f t="shared" si="1"/>
        <v>0</v>
      </c>
      <c r="G61" s="2">
        <f t="shared" si="2"/>
        <v>0</v>
      </c>
      <c r="H61" s="2">
        <f t="shared" si="3"/>
        <v>0</v>
      </c>
      <c r="I61" s="2">
        <f t="shared" si="4"/>
        <v>0</v>
      </c>
      <c r="J61" s="2">
        <f t="shared" si="5"/>
        <v>0</v>
      </c>
      <c r="K61" s="2" t="s">
        <v>136</v>
      </c>
    </row>
    <row r="62" spans="1:11" ht="15" customHeight="1">
      <c r="A62" s="2">
        <v>61</v>
      </c>
      <c r="B62" s="2" t="s">
        <v>41</v>
      </c>
      <c r="C62" s="2" t="s">
        <v>28</v>
      </c>
      <c r="D62" s="2" t="s">
        <v>22</v>
      </c>
      <c r="E62" s="2">
        <f t="shared" si="0"/>
        <v>1</v>
      </c>
      <c r="F62" s="2">
        <f t="shared" si="1"/>
        <v>0</v>
      </c>
      <c r="G62" s="2">
        <f t="shared" si="2"/>
        <v>0</v>
      </c>
      <c r="H62" s="2">
        <f t="shared" si="3"/>
        <v>0</v>
      </c>
      <c r="I62" s="2">
        <f t="shared" si="4"/>
        <v>1</v>
      </c>
      <c r="J62" s="2">
        <f t="shared" si="5"/>
        <v>0</v>
      </c>
      <c r="K62" s="2" t="s">
        <v>136</v>
      </c>
    </row>
    <row r="63" spans="1:11" ht="15" customHeight="1">
      <c r="A63" s="2">
        <v>62</v>
      </c>
      <c r="B63" s="2" t="s">
        <v>41</v>
      </c>
      <c r="C63" s="2" t="s">
        <v>28</v>
      </c>
      <c r="D63" s="2" t="s">
        <v>22</v>
      </c>
      <c r="E63" s="2">
        <f t="shared" si="0"/>
        <v>1</v>
      </c>
      <c r="F63" s="2">
        <f t="shared" si="1"/>
        <v>0</v>
      </c>
      <c r="G63" s="2">
        <f t="shared" si="2"/>
        <v>0</v>
      </c>
      <c r="H63" s="2">
        <f t="shared" si="3"/>
        <v>0</v>
      </c>
      <c r="I63" s="2">
        <f t="shared" si="4"/>
        <v>1</v>
      </c>
      <c r="J63" s="2">
        <f t="shared" si="5"/>
        <v>0</v>
      </c>
      <c r="K63" s="2" t="s">
        <v>136</v>
      </c>
    </row>
    <row r="64" spans="1:11" ht="15" customHeight="1">
      <c r="A64" s="2">
        <v>63</v>
      </c>
      <c r="B64" s="2" t="s">
        <v>41</v>
      </c>
      <c r="C64" s="2" t="s">
        <v>28</v>
      </c>
      <c r="D64" s="2" t="s">
        <v>22</v>
      </c>
      <c r="E64" s="2">
        <f t="shared" si="0"/>
        <v>1</v>
      </c>
      <c r="F64" s="2">
        <f t="shared" si="1"/>
        <v>0</v>
      </c>
      <c r="G64" s="2">
        <f t="shared" si="2"/>
        <v>0</v>
      </c>
      <c r="H64" s="2">
        <f t="shared" si="3"/>
        <v>0</v>
      </c>
      <c r="I64" s="2">
        <f t="shared" si="4"/>
        <v>1</v>
      </c>
      <c r="J64" s="2">
        <f t="shared" si="5"/>
        <v>0</v>
      </c>
      <c r="K64" s="2" t="s">
        <v>136</v>
      </c>
    </row>
    <row r="65" spans="1:11" ht="15" customHeight="1">
      <c r="A65" s="2">
        <v>64</v>
      </c>
      <c r="B65" s="2" t="s">
        <v>41</v>
      </c>
      <c r="C65" s="2" t="s">
        <v>28</v>
      </c>
      <c r="D65" s="2" t="s">
        <v>22</v>
      </c>
      <c r="E65" s="2">
        <f t="shared" si="0"/>
        <v>1</v>
      </c>
      <c r="F65" s="2">
        <f t="shared" si="1"/>
        <v>0</v>
      </c>
      <c r="G65" s="2">
        <f t="shared" si="2"/>
        <v>0</v>
      </c>
      <c r="H65" s="2">
        <f t="shared" si="3"/>
        <v>0</v>
      </c>
      <c r="I65" s="2">
        <f t="shared" si="4"/>
        <v>1</v>
      </c>
      <c r="J65" s="2">
        <f t="shared" si="5"/>
        <v>0</v>
      </c>
      <c r="K65" s="2" t="s">
        <v>136</v>
      </c>
    </row>
    <row r="66" spans="1:11" ht="15" customHeight="1">
      <c r="A66" s="2">
        <v>65</v>
      </c>
      <c r="B66" s="2" t="s">
        <v>42</v>
      </c>
      <c r="C66" s="2" t="s">
        <v>31</v>
      </c>
      <c r="D66" s="2" t="s">
        <v>22</v>
      </c>
      <c r="E66" s="2">
        <f t="shared" ref="E66:E129" si="6">IF(D66="High Street",1,0)</f>
        <v>1</v>
      </c>
      <c r="F66" s="2">
        <f t="shared" ref="F66:F129" si="7">IF(D66="Mall",1,0)</f>
        <v>0</v>
      </c>
      <c r="G66" s="2">
        <f t="shared" ref="G66:G129" si="8">IF(D66="Residential",1,0)</f>
        <v>0</v>
      </c>
      <c r="H66" s="2">
        <f t="shared" ref="H66:H129" si="9">IF(C66="North",1,0)</f>
        <v>0</v>
      </c>
      <c r="I66" s="2">
        <f t="shared" ref="I66:I129" si="10">IF(C66="South",1,0)</f>
        <v>0</v>
      </c>
      <c r="J66" s="2">
        <f t="shared" ref="J66:J129" si="11">IF(C66="West",1,0)</f>
        <v>1</v>
      </c>
      <c r="K66" s="2" t="s">
        <v>136</v>
      </c>
    </row>
    <row r="67" spans="1:11" ht="15" customHeight="1">
      <c r="A67" s="2">
        <v>66</v>
      </c>
      <c r="B67" s="2" t="s">
        <v>42</v>
      </c>
      <c r="C67" s="2" t="s">
        <v>31</v>
      </c>
      <c r="D67" s="2" t="s">
        <v>22</v>
      </c>
      <c r="E67" s="2">
        <f t="shared" si="6"/>
        <v>1</v>
      </c>
      <c r="F67" s="2">
        <f t="shared" si="7"/>
        <v>0</v>
      </c>
      <c r="G67" s="2">
        <f t="shared" si="8"/>
        <v>0</v>
      </c>
      <c r="H67" s="2">
        <f t="shared" si="9"/>
        <v>0</v>
      </c>
      <c r="I67" s="2">
        <f t="shared" si="10"/>
        <v>0</v>
      </c>
      <c r="J67" s="2">
        <f t="shared" si="11"/>
        <v>1</v>
      </c>
      <c r="K67" s="2" t="s">
        <v>136</v>
      </c>
    </row>
    <row r="68" spans="1:11" ht="15" customHeight="1">
      <c r="A68" s="2">
        <v>67</v>
      </c>
      <c r="B68" s="2" t="s">
        <v>42</v>
      </c>
      <c r="C68" s="2" t="s">
        <v>31</v>
      </c>
      <c r="D68" s="2" t="s">
        <v>22</v>
      </c>
      <c r="E68" s="2">
        <f t="shared" si="6"/>
        <v>1</v>
      </c>
      <c r="F68" s="2">
        <f t="shared" si="7"/>
        <v>0</v>
      </c>
      <c r="G68" s="2">
        <f t="shared" si="8"/>
        <v>0</v>
      </c>
      <c r="H68" s="2">
        <f t="shared" si="9"/>
        <v>0</v>
      </c>
      <c r="I68" s="2">
        <f t="shared" si="10"/>
        <v>0</v>
      </c>
      <c r="J68" s="2">
        <f t="shared" si="11"/>
        <v>1</v>
      </c>
      <c r="K68" s="2" t="s">
        <v>136</v>
      </c>
    </row>
    <row r="69" spans="1:11" ht="15" customHeight="1">
      <c r="A69" s="2">
        <v>68</v>
      </c>
      <c r="B69" s="2" t="s">
        <v>42</v>
      </c>
      <c r="C69" s="2" t="s">
        <v>31</v>
      </c>
      <c r="D69" s="2" t="s">
        <v>22</v>
      </c>
      <c r="E69" s="2">
        <f t="shared" si="6"/>
        <v>1</v>
      </c>
      <c r="F69" s="2">
        <f t="shared" si="7"/>
        <v>0</v>
      </c>
      <c r="G69" s="2">
        <f t="shared" si="8"/>
        <v>0</v>
      </c>
      <c r="H69" s="2">
        <f t="shared" si="9"/>
        <v>0</v>
      </c>
      <c r="I69" s="2">
        <f t="shared" si="10"/>
        <v>0</v>
      </c>
      <c r="J69" s="2">
        <f t="shared" si="11"/>
        <v>1</v>
      </c>
      <c r="K69" s="2" t="s">
        <v>136</v>
      </c>
    </row>
    <row r="70" spans="1:11" ht="15" customHeight="1">
      <c r="A70" s="2">
        <v>69</v>
      </c>
      <c r="B70" s="2" t="s">
        <v>43</v>
      </c>
      <c r="C70" s="2" t="s">
        <v>16</v>
      </c>
      <c r="D70" s="2" t="s">
        <v>22</v>
      </c>
      <c r="E70" s="2">
        <f t="shared" si="6"/>
        <v>1</v>
      </c>
      <c r="F70" s="2">
        <f t="shared" si="7"/>
        <v>0</v>
      </c>
      <c r="G70" s="2">
        <f t="shared" si="8"/>
        <v>0</v>
      </c>
      <c r="H70" s="2">
        <f t="shared" si="9"/>
        <v>0</v>
      </c>
      <c r="I70" s="2">
        <f t="shared" si="10"/>
        <v>0</v>
      </c>
      <c r="J70" s="2">
        <f t="shared" si="11"/>
        <v>0</v>
      </c>
      <c r="K70" s="2" t="s">
        <v>136</v>
      </c>
    </row>
    <row r="71" spans="1:11" ht="15" customHeight="1">
      <c r="A71" s="2">
        <v>70</v>
      </c>
      <c r="B71" s="2" t="s">
        <v>43</v>
      </c>
      <c r="C71" s="2" t="s">
        <v>16</v>
      </c>
      <c r="D71" s="2" t="s">
        <v>22</v>
      </c>
      <c r="E71" s="2">
        <f t="shared" si="6"/>
        <v>1</v>
      </c>
      <c r="F71" s="2">
        <f t="shared" si="7"/>
        <v>0</v>
      </c>
      <c r="G71" s="2">
        <f t="shared" si="8"/>
        <v>0</v>
      </c>
      <c r="H71" s="2">
        <f t="shared" si="9"/>
        <v>0</v>
      </c>
      <c r="I71" s="2">
        <f t="shared" si="10"/>
        <v>0</v>
      </c>
      <c r="J71" s="2">
        <f t="shared" si="11"/>
        <v>0</v>
      </c>
      <c r="K71" s="2" t="s">
        <v>136</v>
      </c>
    </row>
    <row r="72" spans="1:11" ht="15" customHeight="1">
      <c r="A72" s="2">
        <v>71</v>
      </c>
      <c r="B72" s="2" t="s">
        <v>43</v>
      </c>
      <c r="C72" s="2" t="s">
        <v>16</v>
      </c>
      <c r="D72" s="2" t="s">
        <v>22</v>
      </c>
      <c r="E72" s="2">
        <f t="shared" si="6"/>
        <v>1</v>
      </c>
      <c r="F72" s="2">
        <f t="shared" si="7"/>
        <v>0</v>
      </c>
      <c r="G72" s="2">
        <f t="shared" si="8"/>
        <v>0</v>
      </c>
      <c r="H72" s="2">
        <f t="shared" si="9"/>
        <v>0</v>
      </c>
      <c r="I72" s="2">
        <f t="shared" si="10"/>
        <v>0</v>
      </c>
      <c r="J72" s="2">
        <f t="shared" si="11"/>
        <v>0</v>
      </c>
      <c r="K72" s="2" t="s">
        <v>136</v>
      </c>
    </row>
    <row r="73" spans="1:11" ht="15" customHeight="1">
      <c r="A73" s="2">
        <v>72</v>
      </c>
      <c r="B73" s="2" t="s">
        <v>43</v>
      </c>
      <c r="C73" s="2" t="s">
        <v>16</v>
      </c>
      <c r="D73" s="2" t="s">
        <v>22</v>
      </c>
      <c r="E73" s="2">
        <f t="shared" si="6"/>
        <v>1</v>
      </c>
      <c r="F73" s="2">
        <f t="shared" si="7"/>
        <v>0</v>
      </c>
      <c r="G73" s="2">
        <f t="shared" si="8"/>
        <v>0</v>
      </c>
      <c r="H73" s="2">
        <f t="shared" si="9"/>
        <v>0</v>
      </c>
      <c r="I73" s="2">
        <f t="shared" si="10"/>
        <v>0</v>
      </c>
      <c r="J73" s="2">
        <f t="shared" si="11"/>
        <v>0</v>
      </c>
      <c r="K73" s="2" t="s">
        <v>136</v>
      </c>
    </row>
    <row r="74" spans="1:11" ht="15" customHeight="1">
      <c r="A74" s="2">
        <v>73</v>
      </c>
      <c r="B74" s="2" t="s">
        <v>44</v>
      </c>
      <c r="C74" s="2" t="s">
        <v>16</v>
      </c>
      <c r="D74" s="2" t="s">
        <v>17</v>
      </c>
      <c r="E74" s="2">
        <f t="shared" si="6"/>
        <v>0</v>
      </c>
      <c r="F74" s="2">
        <f t="shared" si="7"/>
        <v>0</v>
      </c>
      <c r="G74" s="2">
        <f t="shared" si="8"/>
        <v>1</v>
      </c>
      <c r="H74" s="2">
        <f t="shared" si="9"/>
        <v>0</v>
      </c>
      <c r="I74" s="2">
        <f t="shared" si="10"/>
        <v>0</v>
      </c>
      <c r="J74" s="2">
        <f t="shared" si="11"/>
        <v>0</v>
      </c>
      <c r="K74" s="2" t="s">
        <v>136</v>
      </c>
    </row>
    <row r="75" spans="1:11" ht="15" customHeight="1">
      <c r="A75" s="2">
        <v>74</v>
      </c>
      <c r="B75" s="2" t="s">
        <v>44</v>
      </c>
      <c r="C75" s="2" t="s">
        <v>16</v>
      </c>
      <c r="D75" s="2" t="s">
        <v>17</v>
      </c>
      <c r="E75" s="2">
        <f t="shared" si="6"/>
        <v>0</v>
      </c>
      <c r="F75" s="2">
        <f t="shared" si="7"/>
        <v>0</v>
      </c>
      <c r="G75" s="2">
        <f t="shared" si="8"/>
        <v>1</v>
      </c>
      <c r="H75" s="2">
        <f t="shared" si="9"/>
        <v>0</v>
      </c>
      <c r="I75" s="2">
        <f t="shared" si="10"/>
        <v>0</v>
      </c>
      <c r="J75" s="2">
        <f t="shared" si="11"/>
        <v>0</v>
      </c>
      <c r="K75" s="2" t="s">
        <v>136</v>
      </c>
    </row>
    <row r="76" spans="1:11" ht="15" customHeight="1">
      <c r="A76" s="2">
        <v>75</v>
      </c>
      <c r="B76" s="2" t="s">
        <v>44</v>
      </c>
      <c r="C76" s="2" t="s">
        <v>16</v>
      </c>
      <c r="D76" s="2" t="s">
        <v>17</v>
      </c>
      <c r="E76" s="2">
        <f t="shared" si="6"/>
        <v>0</v>
      </c>
      <c r="F76" s="2">
        <f t="shared" si="7"/>
        <v>0</v>
      </c>
      <c r="G76" s="2">
        <f t="shared" si="8"/>
        <v>1</v>
      </c>
      <c r="H76" s="2">
        <f t="shared" si="9"/>
        <v>0</v>
      </c>
      <c r="I76" s="2">
        <f t="shared" si="10"/>
        <v>0</v>
      </c>
      <c r="J76" s="2">
        <f t="shared" si="11"/>
        <v>0</v>
      </c>
      <c r="K76" s="2" t="s">
        <v>136</v>
      </c>
    </row>
    <row r="77" spans="1:11" ht="15" customHeight="1">
      <c r="A77" s="2">
        <v>76</v>
      </c>
      <c r="B77" s="2" t="s">
        <v>44</v>
      </c>
      <c r="C77" s="2" t="s">
        <v>16</v>
      </c>
      <c r="D77" s="2" t="s">
        <v>17</v>
      </c>
      <c r="E77" s="2">
        <f t="shared" si="6"/>
        <v>0</v>
      </c>
      <c r="F77" s="2">
        <f t="shared" si="7"/>
        <v>0</v>
      </c>
      <c r="G77" s="2">
        <f t="shared" si="8"/>
        <v>1</v>
      </c>
      <c r="H77" s="2">
        <f t="shared" si="9"/>
        <v>0</v>
      </c>
      <c r="I77" s="2">
        <f t="shared" si="10"/>
        <v>0</v>
      </c>
      <c r="J77" s="2">
        <f t="shared" si="11"/>
        <v>0</v>
      </c>
      <c r="K77" s="2" t="s">
        <v>136</v>
      </c>
    </row>
    <row r="78" spans="1:11" ht="15" customHeight="1">
      <c r="A78" s="2">
        <v>77</v>
      </c>
      <c r="B78" s="2" t="s">
        <v>45</v>
      </c>
      <c r="C78" s="2" t="s">
        <v>28</v>
      </c>
      <c r="D78" s="2" t="s">
        <v>22</v>
      </c>
      <c r="E78" s="2">
        <f t="shared" si="6"/>
        <v>1</v>
      </c>
      <c r="F78" s="2">
        <f t="shared" si="7"/>
        <v>0</v>
      </c>
      <c r="G78" s="2">
        <f t="shared" si="8"/>
        <v>0</v>
      </c>
      <c r="H78" s="2">
        <f t="shared" si="9"/>
        <v>0</v>
      </c>
      <c r="I78" s="2">
        <f t="shared" si="10"/>
        <v>1</v>
      </c>
      <c r="J78" s="2">
        <f t="shared" si="11"/>
        <v>0</v>
      </c>
      <c r="K78" s="2" t="s">
        <v>136</v>
      </c>
    </row>
    <row r="79" spans="1:11" ht="15" customHeight="1">
      <c r="A79" s="2">
        <v>78</v>
      </c>
      <c r="B79" s="2" t="s">
        <v>45</v>
      </c>
      <c r="C79" s="2" t="s">
        <v>28</v>
      </c>
      <c r="D79" s="2" t="s">
        <v>22</v>
      </c>
      <c r="E79" s="2">
        <f t="shared" si="6"/>
        <v>1</v>
      </c>
      <c r="F79" s="2">
        <f t="shared" si="7"/>
        <v>0</v>
      </c>
      <c r="G79" s="2">
        <f t="shared" si="8"/>
        <v>0</v>
      </c>
      <c r="H79" s="2">
        <f t="shared" si="9"/>
        <v>0</v>
      </c>
      <c r="I79" s="2">
        <f t="shared" si="10"/>
        <v>1</v>
      </c>
      <c r="J79" s="2">
        <f t="shared" si="11"/>
        <v>0</v>
      </c>
      <c r="K79" s="2" t="s">
        <v>136</v>
      </c>
    </row>
    <row r="80" spans="1:11" ht="15" customHeight="1">
      <c r="A80" s="2">
        <v>79</v>
      </c>
      <c r="B80" s="2" t="s">
        <v>45</v>
      </c>
      <c r="C80" s="2" t="s">
        <v>28</v>
      </c>
      <c r="D80" s="2" t="s">
        <v>22</v>
      </c>
      <c r="E80" s="2">
        <f t="shared" si="6"/>
        <v>1</v>
      </c>
      <c r="F80" s="2">
        <f t="shared" si="7"/>
        <v>0</v>
      </c>
      <c r="G80" s="2">
        <f t="shared" si="8"/>
        <v>0</v>
      </c>
      <c r="H80" s="2">
        <f t="shared" si="9"/>
        <v>0</v>
      </c>
      <c r="I80" s="2">
        <f t="shared" si="10"/>
        <v>1</v>
      </c>
      <c r="J80" s="2">
        <f t="shared" si="11"/>
        <v>0</v>
      </c>
      <c r="K80" s="2" t="s">
        <v>136</v>
      </c>
    </row>
    <row r="81" spans="1:11" ht="15" customHeight="1">
      <c r="A81" s="2">
        <v>80</v>
      </c>
      <c r="B81" s="2" t="s">
        <v>45</v>
      </c>
      <c r="C81" s="2" t="s">
        <v>28</v>
      </c>
      <c r="D81" s="2" t="s">
        <v>22</v>
      </c>
      <c r="E81" s="2">
        <f t="shared" si="6"/>
        <v>1</v>
      </c>
      <c r="F81" s="2">
        <f t="shared" si="7"/>
        <v>0</v>
      </c>
      <c r="G81" s="2">
        <f t="shared" si="8"/>
        <v>0</v>
      </c>
      <c r="H81" s="2">
        <f t="shared" si="9"/>
        <v>0</v>
      </c>
      <c r="I81" s="2">
        <f t="shared" si="10"/>
        <v>1</v>
      </c>
      <c r="J81" s="2">
        <f t="shared" si="11"/>
        <v>0</v>
      </c>
      <c r="K81" s="2" t="s">
        <v>136</v>
      </c>
    </row>
    <row r="82" spans="1:11" ht="15" customHeight="1">
      <c r="A82" s="2">
        <v>81</v>
      </c>
      <c r="B82" s="2" t="s">
        <v>46</v>
      </c>
      <c r="C82" s="2" t="s">
        <v>31</v>
      </c>
      <c r="D82" s="2" t="s">
        <v>32</v>
      </c>
      <c r="E82" s="2">
        <f t="shared" si="6"/>
        <v>0</v>
      </c>
      <c r="F82" s="2">
        <f t="shared" si="7"/>
        <v>1</v>
      </c>
      <c r="G82" s="2">
        <f t="shared" si="8"/>
        <v>0</v>
      </c>
      <c r="H82" s="2">
        <f t="shared" si="9"/>
        <v>0</v>
      </c>
      <c r="I82" s="2">
        <f t="shared" si="10"/>
        <v>0</v>
      </c>
      <c r="J82" s="2">
        <f t="shared" si="11"/>
        <v>1</v>
      </c>
      <c r="K82" s="2" t="s">
        <v>136</v>
      </c>
    </row>
    <row r="83" spans="1:11" ht="15" customHeight="1">
      <c r="A83" s="2">
        <v>82</v>
      </c>
      <c r="B83" s="2" t="s">
        <v>46</v>
      </c>
      <c r="C83" s="2" t="s">
        <v>31</v>
      </c>
      <c r="D83" s="2" t="s">
        <v>32</v>
      </c>
      <c r="E83" s="2">
        <f t="shared" si="6"/>
        <v>0</v>
      </c>
      <c r="F83" s="2">
        <f t="shared" si="7"/>
        <v>1</v>
      </c>
      <c r="G83" s="2">
        <f t="shared" si="8"/>
        <v>0</v>
      </c>
      <c r="H83" s="2">
        <f t="shared" si="9"/>
        <v>0</v>
      </c>
      <c r="I83" s="2">
        <f t="shared" si="10"/>
        <v>0</v>
      </c>
      <c r="J83" s="2">
        <f t="shared" si="11"/>
        <v>1</v>
      </c>
      <c r="K83" s="2" t="s">
        <v>136</v>
      </c>
    </row>
    <row r="84" spans="1:11" ht="15" customHeight="1">
      <c r="A84" s="2">
        <v>83</v>
      </c>
      <c r="B84" s="2" t="s">
        <v>46</v>
      </c>
      <c r="C84" s="2" t="s">
        <v>31</v>
      </c>
      <c r="D84" s="2" t="s">
        <v>32</v>
      </c>
      <c r="E84" s="2">
        <f t="shared" si="6"/>
        <v>0</v>
      </c>
      <c r="F84" s="2">
        <f t="shared" si="7"/>
        <v>1</v>
      </c>
      <c r="G84" s="2">
        <f t="shared" si="8"/>
        <v>0</v>
      </c>
      <c r="H84" s="2">
        <f t="shared" si="9"/>
        <v>0</v>
      </c>
      <c r="I84" s="2">
        <f t="shared" si="10"/>
        <v>0</v>
      </c>
      <c r="J84" s="2">
        <f t="shared" si="11"/>
        <v>1</v>
      </c>
      <c r="K84" s="2" t="s">
        <v>136</v>
      </c>
    </row>
    <row r="85" spans="1:11" ht="15" customHeight="1">
      <c r="A85" s="2">
        <v>84</v>
      </c>
      <c r="B85" s="2" t="s">
        <v>46</v>
      </c>
      <c r="C85" s="2" t="s">
        <v>31</v>
      </c>
      <c r="D85" s="2" t="s">
        <v>32</v>
      </c>
      <c r="E85" s="2">
        <f t="shared" si="6"/>
        <v>0</v>
      </c>
      <c r="F85" s="2">
        <f t="shared" si="7"/>
        <v>1</v>
      </c>
      <c r="G85" s="2">
        <f t="shared" si="8"/>
        <v>0</v>
      </c>
      <c r="H85" s="2">
        <f t="shared" si="9"/>
        <v>0</v>
      </c>
      <c r="I85" s="2">
        <f t="shared" si="10"/>
        <v>0</v>
      </c>
      <c r="J85" s="2">
        <f t="shared" si="11"/>
        <v>1</v>
      </c>
      <c r="K85" s="2" t="s">
        <v>136</v>
      </c>
    </row>
    <row r="86" spans="1:11" ht="15" customHeight="1">
      <c r="A86" s="2">
        <v>85</v>
      </c>
      <c r="B86" s="2" t="s">
        <v>47</v>
      </c>
      <c r="C86" s="2" t="s">
        <v>31</v>
      </c>
      <c r="D86" s="2" t="s">
        <v>22</v>
      </c>
      <c r="E86" s="2">
        <f t="shared" si="6"/>
        <v>1</v>
      </c>
      <c r="F86" s="2">
        <f t="shared" si="7"/>
        <v>0</v>
      </c>
      <c r="G86" s="2">
        <f t="shared" si="8"/>
        <v>0</v>
      </c>
      <c r="H86" s="2">
        <f t="shared" si="9"/>
        <v>0</v>
      </c>
      <c r="I86" s="2">
        <f t="shared" si="10"/>
        <v>0</v>
      </c>
      <c r="J86" s="2">
        <f t="shared" si="11"/>
        <v>1</v>
      </c>
      <c r="K86" s="2" t="s">
        <v>136</v>
      </c>
    </row>
    <row r="87" spans="1:11" ht="15" customHeight="1">
      <c r="A87" s="2">
        <v>86</v>
      </c>
      <c r="B87" s="2" t="s">
        <v>47</v>
      </c>
      <c r="C87" s="2" t="s">
        <v>31</v>
      </c>
      <c r="D87" s="2" t="s">
        <v>22</v>
      </c>
      <c r="E87" s="2">
        <f t="shared" si="6"/>
        <v>1</v>
      </c>
      <c r="F87" s="2">
        <f t="shared" si="7"/>
        <v>0</v>
      </c>
      <c r="G87" s="2">
        <f t="shared" si="8"/>
        <v>0</v>
      </c>
      <c r="H87" s="2">
        <f t="shared" si="9"/>
        <v>0</v>
      </c>
      <c r="I87" s="2">
        <f t="shared" si="10"/>
        <v>0</v>
      </c>
      <c r="J87" s="2">
        <f t="shared" si="11"/>
        <v>1</v>
      </c>
      <c r="K87" s="2" t="s">
        <v>136</v>
      </c>
    </row>
    <row r="88" spans="1:11" ht="15" customHeight="1">
      <c r="A88" s="2">
        <v>87</v>
      </c>
      <c r="B88" s="2" t="s">
        <v>47</v>
      </c>
      <c r="C88" s="2" t="s">
        <v>31</v>
      </c>
      <c r="D88" s="2" t="s">
        <v>22</v>
      </c>
      <c r="E88" s="2">
        <f t="shared" si="6"/>
        <v>1</v>
      </c>
      <c r="F88" s="2">
        <f t="shared" si="7"/>
        <v>0</v>
      </c>
      <c r="G88" s="2">
        <f t="shared" si="8"/>
        <v>0</v>
      </c>
      <c r="H88" s="2">
        <f t="shared" si="9"/>
        <v>0</v>
      </c>
      <c r="I88" s="2">
        <f t="shared" si="10"/>
        <v>0</v>
      </c>
      <c r="J88" s="2">
        <f t="shared" si="11"/>
        <v>1</v>
      </c>
      <c r="K88" s="2" t="s">
        <v>136</v>
      </c>
    </row>
    <row r="89" spans="1:11" ht="15" customHeight="1">
      <c r="A89" s="2">
        <v>88</v>
      </c>
      <c r="B89" s="2" t="s">
        <v>47</v>
      </c>
      <c r="C89" s="2" t="s">
        <v>31</v>
      </c>
      <c r="D89" s="2" t="s">
        <v>22</v>
      </c>
      <c r="E89" s="2">
        <f t="shared" si="6"/>
        <v>1</v>
      </c>
      <c r="F89" s="2">
        <f t="shared" si="7"/>
        <v>0</v>
      </c>
      <c r="G89" s="2">
        <f t="shared" si="8"/>
        <v>0</v>
      </c>
      <c r="H89" s="2">
        <f t="shared" si="9"/>
        <v>0</v>
      </c>
      <c r="I89" s="2">
        <f t="shared" si="10"/>
        <v>0</v>
      </c>
      <c r="J89" s="2">
        <f t="shared" si="11"/>
        <v>1</v>
      </c>
      <c r="K89" s="2" t="s">
        <v>136</v>
      </c>
    </row>
    <row r="90" spans="1:11" ht="15" customHeight="1">
      <c r="A90" s="2">
        <v>89</v>
      </c>
      <c r="B90" s="2" t="s">
        <v>48</v>
      </c>
      <c r="C90" s="2" t="s">
        <v>28</v>
      </c>
      <c r="D90" s="2" t="s">
        <v>32</v>
      </c>
      <c r="E90" s="2">
        <f t="shared" si="6"/>
        <v>0</v>
      </c>
      <c r="F90" s="2">
        <f t="shared" si="7"/>
        <v>1</v>
      </c>
      <c r="G90" s="2">
        <f t="shared" si="8"/>
        <v>0</v>
      </c>
      <c r="H90" s="2">
        <f t="shared" si="9"/>
        <v>0</v>
      </c>
      <c r="I90" s="2">
        <f t="shared" si="10"/>
        <v>1</v>
      </c>
      <c r="J90" s="2">
        <f t="shared" si="11"/>
        <v>0</v>
      </c>
      <c r="K90" s="2" t="s">
        <v>136</v>
      </c>
    </row>
    <row r="91" spans="1:11" ht="15" customHeight="1">
      <c r="A91" s="2">
        <v>90</v>
      </c>
      <c r="B91" s="2" t="s">
        <v>48</v>
      </c>
      <c r="C91" s="2" t="s">
        <v>28</v>
      </c>
      <c r="D91" s="2" t="s">
        <v>32</v>
      </c>
      <c r="E91" s="2">
        <f t="shared" si="6"/>
        <v>0</v>
      </c>
      <c r="F91" s="2">
        <f t="shared" si="7"/>
        <v>1</v>
      </c>
      <c r="G91" s="2">
        <f t="shared" si="8"/>
        <v>0</v>
      </c>
      <c r="H91" s="2">
        <f t="shared" si="9"/>
        <v>0</v>
      </c>
      <c r="I91" s="2">
        <f t="shared" si="10"/>
        <v>1</v>
      </c>
      <c r="J91" s="2">
        <f t="shared" si="11"/>
        <v>0</v>
      </c>
      <c r="K91" s="2" t="s">
        <v>136</v>
      </c>
    </row>
    <row r="92" spans="1:11" ht="15" customHeight="1">
      <c r="A92" s="2">
        <v>91</v>
      </c>
      <c r="B92" s="2" t="s">
        <v>48</v>
      </c>
      <c r="C92" s="2" t="s">
        <v>28</v>
      </c>
      <c r="D92" s="2" t="s">
        <v>32</v>
      </c>
      <c r="E92" s="2">
        <f t="shared" si="6"/>
        <v>0</v>
      </c>
      <c r="F92" s="2">
        <f t="shared" si="7"/>
        <v>1</v>
      </c>
      <c r="G92" s="2">
        <f t="shared" si="8"/>
        <v>0</v>
      </c>
      <c r="H92" s="2">
        <f t="shared" si="9"/>
        <v>0</v>
      </c>
      <c r="I92" s="2">
        <f t="shared" si="10"/>
        <v>1</v>
      </c>
      <c r="J92" s="2">
        <f t="shared" si="11"/>
        <v>0</v>
      </c>
      <c r="K92" s="2" t="s">
        <v>136</v>
      </c>
    </row>
    <row r="93" spans="1:11" ht="15" customHeight="1">
      <c r="A93" s="2">
        <v>92</v>
      </c>
      <c r="B93" s="2" t="s">
        <v>48</v>
      </c>
      <c r="C93" s="2" t="s">
        <v>28</v>
      </c>
      <c r="D93" s="2" t="s">
        <v>32</v>
      </c>
      <c r="E93" s="2">
        <f t="shared" si="6"/>
        <v>0</v>
      </c>
      <c r="F93" s="2">
        <f t="shared" si="7"/>
        <v>1</v>
      </c>
      <c r="G93" s="2">
        <f t="shared" si="8"/>
        <v>0</v>
      </c>
      <c r="H93" s="2">
        <f t="shared" si="9"/>
        <v>0</v>
      </c>
      <c r="I93" s="2">
        <f t="shared" si="10"/>
        <v>1</v>
      </c>
      <c r="J93" s="2">
        <f t="shared" si="11"/>
        <v>0</v>
      </c>
      <c r="K93" s="2" t="s">
        <v>136</v>
      </c>
    </row>
    <row r="94" spans="1:11" ht="15" customHeight="1">
      <c r="A94" s="2">
        <v>93</v>
      </c>
      <c r="B94" s="2" t="s">
        <v>49</v>
      </c>
      <c r="C94" s="2" t="s">
        <v>31</v>
      </c>
      <c r="D94" s="2" t="s">
        <v>17</v>
      </c>
      <c r="E94" s="2">
        <f t="shared" si="6"/>
        <v>0</v>
      </c>
      <c r="F94" s="2">
        <f t="shared" si="7"/>
        <v>0</v>
      </c>
      <c r="G94" s="2">
        <f t="shared" si="8"/>
        <v>1</v>
      </c>
      <c r="H94" s="2">
        <f t="shared" si="9"/>
        <v>0</v>
      </c>
      <c r="I94" s="2">
        <f t="shared" si="10"/>
        <v>0</v>
      </c>
      <c r="J94" s="2">
        <f t="shared" si="11"/>
        <v>1</v>
      </c>
      <c r="K94" s="2" t="s">
        <v>136</v>
      </c>
    </row>
    <row r="95" spans="1:11" ht="15" customHeight="1">
      <c r="A95" s="2">
        <v>94</v>
      </c>
      <c r="B95" s="2" t="s">
        <v>49</v>
      </c>
      <c r="C95" s="2" t="s">
        <v>31</v>
      </c>
      <c r="D95" s="2" t="s">
        <v>17</v>
      </c>
      <c r="E95" s="2">
        <f t="shared" si="6"/>
        <v>0</v>
      </c>
      <c r="F95" s="2">
        <f t="shared" si="7"/>
        <v>0</v>
      </c>
      <c r="G95" s="2">
        <f t="shared" si="8"/>
        <v>1</v>
      </c>
      <c r="H95" s="2">
        <f t="shared" si="9"/>
        <v>0</v>
      </c>
      <c r="I95" s="2">
        <f t="shared" si="10"/>
        <v>0</v>
      </c>
      <c r="J95" s="2">
        <f t="shared" si="11"/>
        <v>1</v>
      </c>
      <c r="K95" s="2" t="s">
        <v>136</v>
      </c>
    </row>
    <row r="96" spans="1:11" ht="15" customHeight="1">
      <c r="A96" s="2">
        <v>95</v>
      </c>
      <c r="B96" s="2" t="s">
        <v>49</v>
      </c>
      <c r="C96" s="2" t="s">
        <v>31</v>
      </c>
      <c r="D96" s="2" t="s">
        <v>17</v>
      </c>
      <c r="E96" s="2">
        <f t="shared" si="6"/>
        <v>0</v>
      </c>
      <c r="F96" s="2">
        <f t="shared" si="7"/>
        <v>0</v>
      </c>
      <c r="G96" s="2">
        <f t="shared" si="8"/>
        <v>1</v>
      </c>
      <c r="H96" s="2">
        <f t="shared" si="9"/>
        <v>0</v>
      </c>
      <c r="I96" s="2">
        <f t="shared" si="10"/>
        <v>0</v>
      </c>
      <c r="J96" s="2">
        <f t="shared" si="11"/>
        <v>1</v>
      </c>
      <c r="K96" s="2" t="s">
        <v>136</v>
      </c>
    </row>
    <row r="97" spans="1:11" ht="15" customHeight="1">
      <c r="A97" s="2">
        <v>96</v>
      </c>
      <c r="B97" s="2" t="s">
        <v>49</v>
      </c>
      <c r="C97" s="2" t="s">
        <v>31</v>
      </c>
      <c r="D97" s="2" t="s">
        <v>17</v>
      </c>
      <c r="E97" s="2">
        <f t="shared" si="6"/>
        <v>0</v>
      </c>
      <c r="F97" s="2">
        <f t="shared" si="7"/>
        <v>0</v>
      </c>
      <c r="G97" s="2">
        <f t="shared" si="8"/>
        <v>1</v>
      </c>
      <c r="H97" s="2">
        <f t="shared" si="9"/>
        <v>0</v>
      </c>
      <c r="I97" s="2">
        <f t="shared" si="10"/>
        <v>0</v>
      </c>
      <c r="J97" s="2">
        <f t="shared" si="11"/>
        <v>1</v>
      </c>
      <c r="K97" s="2" t="s">
        <v>136</v>
      </c>
    </row>
    <row r="98" spans="1:11" ht="15" customHeight="1">
      <c r="A98" s="2">
        <v>97</v>
      </c>
      <c r="B98" s="2" t="s">
        <v>50</v>
      </c>
      <c r="C98" s="2" t="s">
        <v>31</v>
      </c>
      <c r="D98" s="2" t="s">
        <v>32</v>
      </c>
      <c r="E98" s="2">
        <f t="shared" si="6"/>
        <v>0</v>
      </c>
      <c r="F98" s="2">
        <f t="shared" si="7"/>
        <v>1</v>
      </c>
      <c r="G98" s="2">
        <f t="shared" si="8"/>
        <v>0</v>
      </c>
      <c r="H98" s="2">
        <f t="shared" si="9"/>
        <v>0</v>
      </c>
      <c r="I98" s="2">
        <f t="shared" si="10"/>
        <v>0</v>
      </c>
      <c r="J98" s="2">
        <f t="shared" si="11"/>
        <v>1</v>
      </c>
      <c r="K98" s="2" t="s">
        <v>136</v>
      </c>
    </row>
    <row r="99" spans="1:11" ht="15" customHeight="1">
      <c r="A99" s="2">
        <v>98</v>
      </c>
      <c r="B99" s="2" t="s">
        <v>50</v>
      </c>
      <c r="C99" s="2" t="s">
        <v>31</v>
      </c>
      <c r="D99" s="2" t="s">
        <v>32</v>
      </c>
      <c r="E99" s="2">
        <f t="shared" si="6"/>
        <v>0</v>
      </c>
      <c r="F99" s="2">
        <f t="shared" si="7"/>
        <v>1</v>
      </c>
      <c r="G99" s="2">
        <f t="shared" si="8"/>
        <v>0</v>
      </c>
      <c r="H99" s="2">
        <f t="shared" si="9"/>
        <v>0</v>
      </c>
      <c r="I99" s="2">
        <f t="shared" si="10"/>
        <v>0</v>
      </c>
      <c r="J99" s="2">
        <f t="shared" si="11"/>
        <v>1</v>
      </c>
      <c r="K99" s="2" t="s">
        <v>136</v>
      </c>
    </row>
    <row r="100" spans="1:11" ht="15" customHeight="1">
      <c r="A100" s="2">
        <v>99</v>
      </c>
      <c r="B100" s="2" t="s">
        <v>50</v>
      </c>
      <c r="C100" s="2" t="s">
        <v>31</v>
      </c>
      <c r="D100" s="2" t="s">
        <v>32</v>
      </c>
      <c r="E100" s="2">
        <f t="shared" si="6"/>
        <v>0</v>
      </c>
      <c r="F100" s="2">
        <f t="shared" si="7"/>
        <v>1</v>
      </c>
      <c r="G100" s="2">
        <f t="shared" si="8"/>
        <v>0</v>
      </c>
      <c r="H100" s="2">
        <f t="shared" si="9"/>
        <v>0</v>
      </c>
      <c r="I100" s="2">
        <f t="shared" si="10"/>
        <v>0</v>
      </c>
      <c r="J100" s="2">
        <f t="shared" si="11"/>
        <v>1</v>
      </c>
      <c r="K100" s="2" t="s">
        <v>136</v>
      </c>
    </row>
    <row r="101" spans="1:11" ht="15" customHeight="1">
      <c r="A101" s="2">
        <v>100</v>
      </c>
      <c r="B101" s="2" t="s">
        <v>50</v>
      </c>
      <c r="C101" s="2" t="s">
        <v>31</v>
      </c>
      <c r="D101" s="2" t="s">
        <v>32</v>
      </c>
      <c r="E101" s="2">
        <f t="shared" si="6"/>
        <v>0</v>
      </c>
      <c r="F101" s="2">
        <f t="shared" si="7"/>
        <v>1</v>
      </c>
      <c r="G101" s="2">
        <f t="shared" si="8"/>
        <v>0</v>
      </c>
      <c r="H101" s="2">
        <f t="shared" si="9"/>
        <v>0</v>
      </c>
      <c r="I101" s="2">
        <f t="shared" si="10"/>
        <v>0</v>
      </c>
      <c r="J101" s="2">
        <f t="shared" si="11"/>
        <v>1</v>
      </c>
      <c r="K101" s="2" t="s">
        <v>136</v>
      </c>
    </row>
    <row r="102" spans="1:11" ht="15" customHeight="1">
      <c r="A102" s="2">
        <v>101</v>
      </c>
      <c r="B102" s="2" t="s">
        <v>51</v>
      </c>
      <c r="C102" s="2" t="s">
        <v>16</v>
      </c>
      <c r="D102" s="2" t="s">
        <v>32</v>
      </c>
      <c r="E102" s="2">
        <f t="shared" si="6"/>
        <v>0</v>
      </c>
      <c r="F102" s="2">
        <f t="shared" si="7"/>
        <v>1</v>
      </c>
      <c r="G102" s="2">
        <f t="shared" si="8"/>
        <v>0</v>
      </c>
      <c r="H102" s="2">
        <f t="shared" si="9"/>
        <v>0</v>
      </c>
      <c r="I102" s="2">
        <f t="shared" si="10"/>
        <v>0</v>
      </c>
      <c r="J102" s="2">
        <f t="shared" si="11"/>
        <v>0</v>
      </c>
      <c r="K102" s="2" t="s">
        <v>136</v>
      </c>
    </row>
    <row r="103" spans="1:11" ht="15" customHeight="1">
      <c r="A103" s="2">
        <v>102</v>
      </c>
      <c r="B103" s="2" t="s">
        <v>51</v>
      </c>
      <c r="C103" s="2" t="s">
        <v>16</v>
      </c>
      <c r="D103" s="2" t="s">
        <v>32</v>
      </c>
      <c r="E103" s="2">
        <f t="shared" si="6"/>
        <v>0</v>
      </c>
      <c r="F103" s="2">
        <f t="shared" si="7"/>
        <v>1</v>
      </c>
      <c r="G103" s="2">
        <f t="shared" si="8"/>
        <v>0</v>
      </c>
      <c r="H103" s="2">
        <f t="shared" si="9"/>
        <v>0</v>
      </c>
      <c r="I103" s="2">
        <f t="shared" si="10"/>
        <v>0</v>
      </c>
      <c r="J103" s="2">
        <f t="shared" si="11"/>
        <v>0</v>
      </c>
      <c r="K103" s="2" t="s">
        <v>136</v>
      </c>
    </row>
    <row r="104" spans="1:11" ht="15" customHeight="1">
      <c r="A104" s="2">
        <v>103</v>
      </c>
      <c r="B104" s="2" t="s">
        <v>51</v>
      </c>
      <c r="C104" s="2" t="s">
        <v>16</v>
      </c>
      <c r="D104" s="2" t="s">
        <v>32</v>
      </c>
      <c r="E104" s="2">
        <f t="shared" si="6"/>
        <v>0</v>
      </c>
      <c r="F104" s="2">
        <f t="shared" si="7"/>
        <v>1</v>
      </c>
      <c r="G104" s="2">
        <f t="shared" si="8"/>
        <v>0</v>
      </c>
      <c r="H104" s="2">
        <f t="shared" si="9"/>
        <v>0</v>
      </c>
      <c r="I104" s="2">
        <f t="shared" si="10"/>
        <v>0</v>
      </c>
      <c r="J104" s="2">
        <f t="shared" si="11"/>
        <v>0</v>
      </c>
      <c r="K104" s="2" t="s">
        <v>136</v>
      </c>
    </row>
    <row r="105" spans="1:11" ht="15" customHeight="1">
      <c r="A105" s="2">
        <v>104</v>
      </c>
      <c r="B105" s="2" t="s">
        <v>51</v>
      </c>
      <c r="C105" s="2" t="s">
        <v>16</v>
      </c>
      <c r="D105" s="2" t="s">
        <v>32</v>
      </c>
      <c r="E105" s="2">
        <f t="shared" si="6"/>
        <v>0</v>
      </c>
      <c r="F105" s="2">
        <f t="shared" si="7"/>
        <v>1</v>
      </c>
      <c r="G105" s="2">
        <f t="shared" si="8"/>
        <v>0</v>
      </c>
      <c r="H105" s="2">
        <f t="shared" si="9"/>
        <v>0</v>
      </c>
      <c r="I105" s="2">
        <f t="shared" si="10"/>
        <v>0</v>
      </c>
      <c r="J105" s="2">
        <f t="shared" si="11"/>
        <v>0</v>
      </c>
      <c r="K105" s="2" t="s">
        <v>136</v>
      </c>
    </row>
    <row r="106" spans="1:11" ht="15" customHeight="1">
      <c r="A106" s="2">
        <v>105</v>
      </c>
      <c r="B106" s="2" t="s">
        <v>52</v>
      </c>
      <c r="C106" s="2" t="s">
        <v>31</v>
      </c>
      <c r="D106" s="2" t="s">
        <v>22</v>
      </c>
      <c r="E106" s="2">
        <f t="shared" si="6"/>
        <v>1</v>
      </c>
      <c r="F106" s="2">
        <f t="shared" si="7"/>
        <v>0</v>
      </c>
      <c r="G106" s="2">
        <f t="shared" si="8"/>
        <v>0</v>
      </c>
      <c r="H106" s="2">
        <f t="shared" si="9"/>
        <v>0</v>
      </c>
      <c r="I106" s="2">
        <f t="shared" si="10"/>
        <v>0</v>
      </c>
      <c r="J106" s="2">
        <f t="shared" si="11"/>
        <v>1</v>
      </c>
      <c r="K106" s="2" t="s">
        <v>136</v>
      </c>
    </row>
    <row r="107" spans="1:11" ht="15" customHeight="1">
      <c r="A107" s="2">
        <v>106</v>
      </c>
      <c r="B107" s="2" t="s">
        <v>52</v>
      </c>
      <c r="C107" s="2" t="s">
        <v>31</v>
      </c>
      <c r="D107" s="2" t="s">
        <v>22</v>
      </c>
      <c r="E107" s="2">
        <f t="shared" si="6"/>
        <v>1</v>
      </c>
      <c r="F107" s="2">
        <f t="shared" si="7"/>
        <v>0</v>
      </c>
      <c r="G107" s="2">
        <f t="shared" si="8"/>
        <v>0</v>
      </c>
      <c r="H107" s="2">
        <f t="shared" si="9"/>
        <v>0</v>
      </c>
      <c r="I107" s="2">
        <f t="shared" si="10"/>
        <v>0</v>
      </c>
      <c r="J107" s="2">
        <f t="shared" si="11"/>
        <v>1</v>
      </c>
      <c r="K107" s="2" t="s">
        <v>136</v>
      </c>
    </row>
    <row r="108" spans="1:11" ht="15" customHeight="1">
      <c r="A108" s="2">
        <v>107</v>
      </c>
      <c r="B108" s="2" t="s">
        <v>52</v>
      </c>
      <c r="C108" s="2" t="s">
        <v>31</v>
      </c>
      <c r="D108" s="2" t="s">
        <v>22</v>
      </c>
      <c r="E108" s="2">
        <f t="shared" si="6"/>
        <v>1</v>
      </c>
      <c r="F108" s="2">
        <f t="shared" si="7"/>
        <v>0</v>
      </c>
      <c r="G108" s="2">
        <f t="shared" si="8"/>
        <v>0</v>
      </c>
      <c r="H108" s="2">
        <f t="shared" si="9"/>
        <v>0</v>
      </c>
      <c r="I108" s="2">
        <f t="shared" si="10"/>
        <v>0</v>
      </c>
      <c r="J108" s="2">
        <f t="shared" si="11"/>
        <v>1</v>
      </c>
      <c r="K108" s="2" t="s">
        <v>136</v>
      </c>
    </row>
    <row r="109" spans="1:11" ht="15" customHeight="1">
      <c r="A109" s="2">
        <v>108</v>
      </c>
      <c r="B109" s="2" t="s">
        <v>52</v>
      </c>
      <c r="C109" s="2" t="s">
        <v>31</v>
      </c>
      <c r="D109" s="2" t="s">
        <v>22</v>
      </c>
      <c r="E109" s="2">
        <f t="shared" si="6"/>
        <v>1</v>
      </c>
      <c r="F109" s="2">
        <f t="shared" si="7"/>
        <v>0</v>
      </c>
      <c r="G109" s="2">
        <f t="shared" si="8"/>
        <v>0</v>
      </c>
      <c r="H109" s="2">
        <f t="shared" si="9"/>
        <v>0</v>
      </c>
      <c r="I109" s="2">
        <f t="shared" si="10"/>
        <v>0</v>
      </c>
      <c r="J109" s="2">
        <f t="shared" si="11"/>
        <v>1</v>
      </c>
      <c r="K109" s="2" t="s">
        <v>136</v>
      </c>
    </row>
    <row r="110" spans="1:11" ht="15" customHeight="1">
      <c r="A110" s="2">
        <v>109</v>
      </c>
      <c r="B110" s="2" t="s">
        <v>53</v>
      </c>
      <c r="C110" s="2" t="s">
        <v>16</v>
      </c>
      <c r="D110" s="2" t="s">
        <v>32</v>
      </c>
      <c r="E110" s="2">
        <f t="shared" si="6"/>
        <v>0</v>
      </c>
      <c r="F110" s="2">
        <f t="shared" si="7"/>
        <v>1</v>
      </c>
      <c r="G110" s="2">
        <f t="shared" si="8"/>
        <v>0</v>
      </c>
      <c r="H110" s="2">
        <f t="shared" si="9"/>
        <v>0</v>
      </c>
      <c r="I110" s="2">
        <f t="shared" si="10"/>
        <v>0</v>
      </c>
      <c r="J110" s="2">
        <f t="shared" si="11"/>
        <v>0</v>
      </c>
      <c r="K110" s="2" t="s">
        <v>136</v>
      </c>
    </row>
    <row r="111" spans="1:11" ht="15" customHeight="1">
      <c r="A111" s="2">
        <v>110</v>
      </c>
      <c r="B111" s="2" t="s">
        <v>53</v>
      </c>
      <c r="C111" s="2" t="s">
        <v>16</v>
      </c>
      <c r="D111" s="2" t="s">
        <v>32</v>
      </c>
      <c r="E111" s="2">
        <f t="shared" si="6"/>
        <v>0</v>
      </c>
      <c r="F111" s="2">
        <f t="shared" si="7"/>
        <v>1</v>
      </c>
      <c r="G111" s="2">
        <f t="shared" si="8"/>
        <v>0</v>
      </c>
      <c r="H111" s="2">
        <f t="shared" si="9"/>
        <v>0</v>
      </c>
      <c r="I111" s="2">
        <f t="shared" si="10"/>
        <v>0</v>
      </c>
      <c r="J111" s="2">
        <f t="shared" si="11"/>
        <v>0</v>
      </c>
      <c r="K111" s="2" t="s">
        <v>136</v>
      </c>
    </row>
    <row r="112" spans="1:11" ht="15" customHeight="1">
      <c r="A112" s="2">
        <v>111</v>
      </c>
      <c r="B112" s="2" t="s">
        <v>53</v>
      </c>
      <c r="C112" s="2" t="s">
        <v>16</v>
      </c>
      <c r="D112" s="2" t="s">
        <v>32</v>
      </c>
      <c r="E112" s="2">
        <f t="shared" si="6"/>
        <v>0</v>
      </c>
      <c r="F112" s="2">
        <f t="shared" si="7"/>
        <v>1</v>
      </c>
      <c r="G112" s="2">
        <f t="shared" si="8"/>
        <v>0</v>
      </c>
      <c r="H112" s="2">
        <f t="shared" si="9"/>
        <v>0</v>
      </c>
      <c r="I112" s="2">
        <f t="shared" si="10"/>
        <v>0</v>
      </c>
      <c r="J112" s="2">
        <f t="shared" si="11"/>
        <v>0</v>
      </c>
      <c r="K112" s="2" t="s">
        <v>136</v>
      </c>
    </row>
    <row r="113" spans="1:11" ht="15" customHeight="1">
      <c r="A113" s="2">
        <v>112</v>
      </c>
      <c r="B113" s="2" t="s">
        <v>53</v>
      </c>
      <c r="C113" s="2" t="s">
        <v>16</v>
      </c>
      <c r="D113" s="2" t="s">
        <v>32</v>
      </c>
      <c r="E113" s="2">
        <f t="shared" si="6"/>
        <v>0</v>
      </c>
      <c r="F113" s="2">
        <f t="shared" si="7"/>
        <v>1</v>
      </c>
      <c r="G113" s="2">
        <f t="shared" si="8"/>
        <v>0</v>
      </c>
      <c r="H113" s="2">
        <f t="shared" si="9"/>
        <v>0</v>
      </c>
      <c r="I113" s="2">
        <f t="shared" si="10"/>
        <v>0</v>
      </c>
      <c r="J113" s="2">
        <f t="shared" si="11"/>
        <v>0</v>
      </c>
      <c r="K113" s="2" t="s">
        <v>136</v>
      </c>
    </row>
    <row r="114" spans="1:11" ht="15" customHeight="1">
      <c r="A114" s="2">
        <v>113</v>
      </c>
      <c r="B114" s="2" t="s">
        <v>54</v>
      </c>
      <c r="C114" s="2" t="s">
        <v>31</v>
      </c>
      <c r="D114" s="2" t="s">
        <v>32</v>
      </c>
      <c r="E114" s="2">
        <f t="shared" si="6"/>
        <v>0</v>
      </c>
      <c r="F114" s="2">
        <f t="shared" si="7"/>
        <v>1</v>
      </c>
      <c r="G114" s="2">
        <f t="shared" si="8"/>
        <v>0</v>
      </c>
      <c r="H114" s="2">
        <f t="shared" si="9"/>
        <v>0</v>
      </c>
      <c r="I114" s="2">
        <f t="shared" si="10"/>
        <v>0</v>
      </c>
      <c r="J114" s="2">
        <f t="shared" si="11"/>
        <v>1</v>
      </c>
      <c r="K114" s="2" t="s">
        <v>136</v>
      </c>
    </row>
    <row r="115" spans="1:11" ht="15" customHeight="1">
      <c r="A115" s="2">
        <v>114</v>
      </c>
      <c r="B115" s="2" t="s">
        <v>54</v>
      </c>
      <c r="C115" s="2" t="s">
        <v>31</v>
      </c>
      <c r="D115" s="2" t="s">
        <v>32</v>
      </c>
      <c r="E115" s="2">
        <f t="shared" si="6"/>
        <v>0</v>
      </c>
      <c r="F115" s="2">
        <f t="shared" si="7"/>
        <v>1</v>
      </c>
      <c r="G115" s="2">
        <f t="shared" si="8"/>
        <v>0</v>
      </c>
      <c r="H115" s="2">
        <f t="shared" si="9"/>
        <v>0</v>
      </c>
      <c r="I115" s="2">
        <f t="shared" si="10"/>
        <v>0</v>
      </c>
      <c r="J115" s="2">
        <f t="shared" si="11"/>
        <v>1</v>
      </c>
      <c r="K115" s="2" t="s">
        <v>136</v>
      </c>
    </row>
    <row r="116" spans="1:11" ht="15" customHeight="1">
      <c r="A116" s="2">
        <v>115</v>
      </c>
      <c r="B116" s="2" t="s">
        <v>54</v>
      </c>
      <c r="C116" s="2" t="s">
        <v>31</v>
      </c>
      <c r="D116" s="2" t="s">
        <v>32</v>
      </c>
      <c r="E116" s="2">
        <f t="shared" si="6"/>
        <v>0</v>
      </c>
      <c r="F116" s="2">
        <f t="shared" si="7"/>
        <v>1</v>
      </c>
      <c r="G116" s="2">
        <f t="shared" si="8"/>
        <v>0</v>
      </c>
      <c r="H116" s="2">
        <f t="shared" si="9"/>
        <v>0</v>
      </c>
      <c r="I116" s="2">
        <f t="shared" si="10"/>
        <v>0</v>
      </c>
      <c r="J116" s="2">
        <f t="shared" si="11"/>
        <v>1</v>
      </c>
      <c r="K116" s="2" t="s">
        <v>136</v>
      </c>
    </row>
    <row r="117" spans="1:11" ht="15" customHeight="1">
      <c r="A117" s="2">
        <v>116</v>
      </c>
      <c r="B117" s="2" t="s">
        <v>54</v>
      </c>
      <c r="C117" s="2" t="s">
        <v>31</v>
      </c>
      <c r="D117" s="2" t="s">
        <v>32</v>
      </c>
      <c r="E117" s="2">
        <f t="shared" si="6"/>
        <v>0</v>
      </c>
      <c r="F117" s="2">
        <f t="shared" si="7"/>
        <v>1</v>
      </c>
      <c r="G117" s="2">
        <f t="shared" si="8"/>
        <v>0</v>
      </c>
      <c r="H117" s="2">
        <f t="shared" si="9"/>
        <v>0</v>
      </c>
      <c r="I117" s="2">
        <f t="shared" si="10"/>
        <v>0</v>
      </c>
      <c r="J117" s="2">
        <f t="shared" si="11"/>
        <v>1</v>
      </c>
      <c r="K117" s="2" t="s">
        <v>136</v>
      </c>
    </row>
    <row r="118" spans="1:11" ht="15" customHeight="1">
      <c r="A118" s="2">
        <v>117</v>
      </c>
      <c r="B118" s="2" t="s">
        <v>55</v>
      </c>
      <c r="C118" s="2" t="s">
        <v>31</v>
      </c>
      <c r="D118" s="2" t="s">
        <v>17</v>
      </c>
      <c r="E118" s="2">
        <f t="shared" si="6"/>
        <v>0</v>
      </c>
      <c r="F118" s="2">
        <f t="shared" si="7"/>
        <v>0</v>
      </c>
      <c r="G118" s="2">
        <f t="shared" si="8"/>
        <v>1</v>
      </c>
      <c r="H118" s="2">
        <f t="shared" si="9"/>
        <v>0</v>
      </c>
      <c r="I118" s="2">
        <f t="shared" si="10"/>
        <v>0</v>
      </c>
      <c r="J118" s="2">
        <f t="shared" si="11"/>
        <v>1</v>
      </c>
      <c r="K118" s="2" t="s">
        <v>136</v>
      </c>
    </row>
    <row r="119" spans="1:11" ht="15" customHeight="1">
      <c r="A119" s="2">
        <v>118</v>
      </c>
      <c r="B119" s="2" t="s">
        <v>55</v>
      </c>
      <c r="C119" s="2" t="s">
        <v>31</v>
      </c>
      <c r="D119" s="2" t="s">
        <v>17</v>
      </c>
      <c r="E119" s="2">
        <f t="shared" si="6"/>
        <v>0</v>
      </c>
      <c r="F119" s="2">
        <f t="shared" si="7"/>
        <v>0</v>
      </c>
      <c r="G119" s="2">
        <f t="shared" si="8"/>
        <v>1</v>
      </c>
      <c r="H119" s="2">
        <f t="shared" si="9"/>
        <v>0</v>
      </c>
      <c r="I119" s="2">
        <f t="shared" si="10"/>
        <v>0</v>
      </c>
      <c r="J119" s="2">
        <f t="shared" si="11"/>
        <v>1</v>
      </c>
      <c r="K119" s="2" t="s">
        <v>136</v>
      </c>
    </row>
    <row r="120" spans="1:11" ht="15" customHeight="1">
      <c r="A120" s="2">
        <v>119</v>
      </c>
      <c r="B120" s="2" t="s">
        <v>55</v>
      </c>
      <c r="C120" s="2" t="s">
        <v>31</v>
      </c>
      <c r="D120" s="2" t="s">
        <v>17</v>
      </c>
      <c r="E120" s="2">
        <f t="shared" si="6"/>
        <v>0</v>
      </c>
      <c r="F120" s="2">
        <f t="shared" si="7"/>
        <v>0</v>
      </c>
      <c r="G120" s="2">
        <f t="shared" si="8"/>
        <v>1</v>
      </c>
      <c r="H120" s="2">
        <f t="shared" si="9"/>
        <v>0</v>
      </c>
      <c r="I120" s="2">
        <f t="shared" si="10"/>
        <v>0</v>
      </c>
      <c r="J120" s="2">
        <f t="shared" si="11"/>
        <v>1</v>
      </c>
      <c r="K120" s="2" t="s">
        <v>136</v>
      </c>
    </row>
    <row r="121" spans="1:11" ht="15" customHeight="1">
      <c r="A121" s="2">
        <v>120</v>
      </c>
      <c r="B121" s="2" t="s">
        <v>55</v>
      </c>
      <c r="C121" s="2" t="s">
        <v>31</v>
      </c>
      <c r="D121" s="2" t="s">
        <v>17</v>
      </c>
      <c r="E121" s="2">
        <f t="shared" si="6"/>
        <v>0</v>
      </c>
      <c r="F121" s="2">
        <f t="shared" si="7"/>
        <v>0</v>
      </c>
      <c r="G121" s="2">
        <f t="shared" si="8"/>
        <v>1</v>
      </c>
      <c r="H121" s="2">
        <f t="shared" si="9"/>
        <v>0</v>
      </c>
      <c r="I121" s="2">
        <f t="shared" si="10"/>
        <v>0</v>
      </c>
      <c r="J121" s="2">
        <f t="shared" si="11"/>
        <v>1</v>
      </c>
      <c r="K121" s="2" t="s">
        <v>136</v>
      </c>
    </row>
    <row r="122" spans="1:11" ht="15" customHeight="1">
      <c r="A122" s="2">
        <v>121</v>
      </c>
      <c r="B122" s="2" t="s">
        <v>56</v>
      </c>
      <c r="C122" s="2" t="s">
        <v>24</v>
      </c>
      <c r="D122" s="2" t="s">
        <v>22</v>
      </c>
      <c r="E122" s="2">
        <f t="shared" si="6"/>
        <v>1</v>
      </c>
      <c r="F122" s="2">
        <f t="shared" si="7"/>
        <v>0</v>
      </c>
      <c r="G122" s="2">
        <f t="shared" si="8"/>
        <v>0</v>
      </c>
      <c r="H122" s="2">
        <f t="shared" si="9"/>
        <v>1</v>
      </c>
      <c r="I122" s="2">
        <f t="shared" si="10"/>
        <v>0</v>
      </c>
      <c r="J122" s="2">
        <f t="shared" si="11"/>
        <v>0</v>
      </c>
      <c r="K122" s="2" t="s">
        <v>136</v>
      </c>
    </row>
    <row r="123" spans="1:11" ht="15" customHeight="1">
      <c r="A123" s="2">
        <v>122</v>
      </c>
      <c r="B123" s="2" t="s">
        <v>56</v>
      </c>
      <c r="C123" s="2" t="s">
        <v>24</v>
      </c>
      <c r="D123" s="2" t="s">
        <v>22</v>
      </c>
      <c r="E123" s="2">
        <f t="shared" si="6"/>
        <v>1</v>
      </c>
      <c r="F123" s="2">
        <f t="shared" si="7"/>
        <v>0</v>
      </c>
      <c r="G123" s="2">
        <f t="shared" si="8"/>
        <v>0</v>
      </c>
      <c r="H123" s="2">
        <f t="shared" si="9"/>
        <v>1</v>
      </c>
      <c r="I123" s="2">
        <f t="shared" si="10"/>
        <v>0</v>
      </c>
      <c r="J123" s="2">
        <f t="shared" si="11"/>
        <v>0</v>
      </c>
      <c r="K123" s="2" t="s">
        <v>136</v>
      </c>
    </row>
    <row r="124" spans="1:11" ht="15" customHeight="1">
      <c r="A124" s="2">
        <v>123</v>
      </c>
      <c r="B124" s="2" t="s">
        <v>56</v>
      </c>
      <c r="C124" s="2" t="s">
        <v>24</v>
      </c>
      <c r="D124" s="2" t="s">
        <v>22</v>
      </c>
      <c r="E124" s="2">
        <f t="shared" si="6"/>
        <v>1</v>
      </c>
      <c r="F124" s="2">
        <f t="shared" si="7"/>
        <v>0</v>
      </c>
      <c r="G124" s="2">
        <f t="shared" si="8"/>
        <v>0</v>
      </c>
      <c r="H124" s="2">
        <f t="shared" si="9"/>
        <v>1</v>
      </c>
      <c r="I124" s="2">
        <f t="shared" si="10"/>
        <v>0</v>
      </c>
      <c r="J124" s="2">
        <f t="shared" si="11"/>
        <v>0</v>
      </c>
      <c r="K124" s="2" t="s">
        <v>136</v>
      </c>
    </row>
    <row r="125" spans="1:11" ht="15" customHeight="1">
      <c r="A125" s="2">
        <v>124</v>
      </c>
      <c r="B125" s="2" t="s">
        <v>56</v>
      </c>
      <c r="C125" s="2" t="s">
        <v>24</v>
      </c>
      <c r="D125" s="2" t="s">
        <v>22</v>
      </c>
      <c r="E125" s="2">
        <f t="shared" si="6"/>
        <v>1</v>
      </c>
      <c r="F125" s="2">
        <f t="shared" si="7"/>
        <v>0</v>
      </c>
      <c r="G125" s="2">
        <f t="shared" si="8"/>
        <v>0</v>
      </c>
      <c r="H125" s="2">
        <f t="shared" si="9"/>
        <v>1</v>
      </c>
      <c r="I125" s="2">
        <f t="shared" si="10"/>
        <v>0</v>
      </c>
      <c r="J125" s="2">
        <f t="shared" si="11"/>
        <v>0</v>
      </c>
      <c r="K125" s="2" t="s">
        <v>136</v>
      </c>
    </row>
    <row r="126" spans="1:11" ht="15" customHeight="1">
      <c r="A126" s="2">
        <v>125</v>
      </c>
      <c r="B126" s="2" t="s">
        <v>57</v>
      </c>
      <c r="C126" s="2" t="s">
        <v>28</v>
      </c>
      <c r="D126" s="2" t="s">
        <v>22</v>
      </c>
      <c r="E126" s="2">
        <f t="shared" si="6"/>
        <v>1</v>
      </c>
      <c r="F126" s="2">
        <f t="shared" si="7"/>
        <v>0</v>
      </c>
      <c r="G126" s="2">
        <f t="shared" si="8"/>
        <v>0</v>
      </c>
      <c r="H126" s="2">
        <f t="shared" si="9"/>
        <v>0</v>
      </c>
      <c r="I126" s="2">
        <f t="shared" si="10"/>
        <v>1</v>
      </c>
      <c r="J126" s="2">
        <f t="shared" si="11"/>
        <v>0</v>
      </c>
      <c r="K126" s="2" t="s">
        <v>136</v>
      </c>
    </row>
    <row r="127" spans="1:11" ht="15" customHeight="1">
      <c r="A127" s="2">
        <v>126</v>
      </c>
      <c r="B127" s="2" t="s">
        <v>57</v>
      </c>
      <c r="C127" s="2" t="s">
        <v>28</v>
      </c>
      <c r="D127" s="2" t="s">
        <v>22</v>
      </c>
      <c r="E127" s="2">
        <f t="shared" si="6"/>
        <v>1</v>
      </c>
      <c r="F127" s="2">
        <f t="shared" si="7"/>
        <v>0</v>
      </c>
      <c r="G127" s="2">
        <f t="shared" si="8"/>
        <v>0</v>
      </c>
      <c r="H127" s="2">
        <f t="shared" si="9"/>
        <v>0</v>
      </c>
      <c r="I127" s="2">
        <f t="shared" si="10"/>
        <v>1</v>
      </c>
      <c r="J127" s="2">
        <f t="shared" si="11"/>
        <v>0</v>
      </c>
      <c r="K127" s="2" t="s">
        <v>136</v>
      </c>
    </row>
    <row r="128" spans="1:11" ht="15" customHeight="1">
      <c r="A128" s="2">
        <v>127</v>
      </c>
      <c r="B128" s="2" t="s">
        <v>57</v>
      </c>
      <c r="C128" s="2" t="s">
        <v>28</v>
      </c>
      <c r="D128" s="2" t="s">
        <v>22</v>
      </c>
      <c r="E128" s="2">
        <f t="shared" si="6"/>
        <v>1</v>
      </c>
      <c r="F128" s="2">
        <f t="shared" si="7"/>
        <v>0</v>
      </c>
      <c r="G128" s="2">
        <f t="shared" si="8"/>
        <v>0</v>
      </c>
      <c r="H128" s="2">
        <f t="shared" si="9"/>
        <v>0</v>
      </c>
      <c r="I128" s="2">
        <f t="shared" si="10"/>
        <v>1</v>
      </c>
      <c r="J128" s="2">
        <f t="shared" si="11"/>
        <v>0</v>
      </c>
      <c r="K128" s="2" t="s">
        <v>136</v>
      </c>
    </row>
    <row r="129" spans="1:11" ht="15" customHeight="1">
      <c r="A129" s="2">
        <v>128</v>
      </c>
      <c r="B129" s="2" t="s">
        <v>57</v>
      </c>
      <c r="C129" s="2" t="s">
        <v>28</v>
      </c>
      <c r="D129" s="2" t="s">
        <v>22</v>
      </c>
      <c r="E129" s="2">
        <f t="shared" si="6"/>
        <v>1</v>
      </c>
      <c r="F129" s="2">
        <f t="shared" si="7"/>
        <v>0</v>
      </c>
      <c r="G129" s="2">
        <f t="shared" si="8"/>
        <v>0</v>
      </c>
      <c r="H129" s="2">
        <f t="shared" si="9"/>
        <v>0</v>
      </c>
      <c r="I129" s="2">
        <f t="shared" si="10"/>
        <v>1</v>
      </c>
      <c r="J129" s="2">
        <f t="shared" si="11"/>
        <v>0</v>
      </c>
      <c r="K129" s="2" t="s">
        <v>136</v>
      </c>
    </row>
    <row r="130" spans="1:11" ht="15" customHeight="1">
      <c r="A130" s="2">
        <v>129</v>
      </c>
      <c r="B130" s="2" t="s">
        <v>58</v>
      </c>
      <c r="C130" s="2" t="s">
        <v>16</v>
      </c>
      <c r="D130" s="2" t="s">
        <v>22</v>
      </c>
      <c r="E130" s="2">
        <f t="shared" ref="E130:E193" si="12">IF(D130="High Street",1,0)</f>
        <v>1</v>
      </c>
      <c r="F130" s="2">
        <f t="shared" ref="F130:F193" si="13">IF(D130="Mall",1,0)</f>
        <v>0</v>
      </c>
      <c r="G130" s="2">
        <f t="shared" ref="G130:G193" si="14">IF(D130="Residential",1,0)</f>
        <v>0</v>
      </c>
      <c r="H130" s="2">
        <f t="shared" ref="H130:H193" si="15">IF(C130="North",1,0)</f>
        <v>0</v>
      </c>
      <c r="I130" s="2">
        <f t="shared" ref="I130:I193" si="16">IF(C130="South",1,0)</f>
        <v>0</v>
      </c>
      <c r="J130" s="2">
        <f t="shared" ref="J130:J193" si="17">IF(C130="West",1,0)</f>
        <v>0</v>
      </c>
      <c r="K130" s="2" t="s">
        <v>136</v>
      </c>
    </row>
    <row r="131" spans="1:11" ht="15" customHeight="1">
      <c r="A131" s="2">
        <v>130</v>
      </c>
      <c r="B131" s="2" t="s">
        <v>58</v>
      </c>
      <c r="C131" s="2" t="s">
        <v>16</v>
      </c>
      <c r="D131" s="2" t="s">
        <v>22</v>
      </c>
      <c r="E131" s="2">
        <f t="shared" si="12"/>
        <v>1</v>
      </c>
      <c r="F131" s="2">
        <f t="shared" si="13"/>
        <v>0</v>
      </c>
      <c r="G131" s="2">
        <f t="shared" si="14"/>
        <v>0</v>
      </c>
      <c r="H131" s="2">
        <f t="shared" si="15"/>
        <v>0</v>
      </c>
      <c r="I131" s="2">
        <f t="shared" si="16"/>
        <v>0</v>
      </c>
      <c r="J131" s="2">
        <f t="shared" si="17"/>
        <v>0</v>
      </c>
      <c r="K131" s="2" t="s">
        <v>136</v>
      </c>
    </row>
    <row r="132" spans="1:11" ht="15" customHeight="1">
      <c r="A132" s="2">
        <v>131</v>
      </c>
      <c r="B132" s="2" t="s">
        <v>58</v>
      </c>
      <c r="C132" s="2" t="s">
        <v>16</v>
      </c>
      <c r="D132" s="2" t="s">
        <v>22</v>
      </c>
      <c r="E132" s="2">
        <f t="shared" si="12"/>
        <v>1</v>
      </c>
      <c r="F132" s="2">
        <f t="shared" si="13"/>
        <v>0</v>
      </c>
      <c r="G132" s="2">
        <f t="shared" si="14"/>
        <v>0</v>
      </c>
      <c r="H132" s="2">
        <f t="shared" si="15"/>
        <v>0</v>
      </c>
      <c r="I132" s="2">
        <f t="shared" si="16"/>
        <v>0</v>
      </c>
      <c r="J132" s="2">
        <f t="shared" si="17"/>
        <v>0</v>
      </c>
      <c r="K132" s="2" t="s">
        <v>136</v>
      </c>
    </row>
    <row r="133" spans="1:11" ht="15" customHeight="1">
      <c r="A133" s="2">
        <v>132</v>
      </c>
      <c r="B133" s="2" t="s">
        <v>58</v>
      </c>
      <c r="C133" s="2" t="s">
        <v>16</v>
      </c>
      <c r="D133" s="2" t="s">
        <v>22</v>
      </c>
      <c r="E133" s="2">
        <f t="shared" si="12"/>
        <v>1</v>
      </c>
      <c r="F133" s="2">
        <f t="shared" si="13"/>
        <v>0</v>
      </c>
      <c r="G133" s="2">
        <f t="shared" si="14"/>
        <v>0</v>
      </c>
      <c r="H133" s="2">
        <f t="shared" si="15"/>
        <v>0</v>
      </c>
      <c r="I133" s="2">
        <f t="shared" si="16"/>
        <v>0</v>
      </c>
      <c r="J133" s="2">
        <f t="shared" si="17"/>
        <v>0</v>
      </c>
      <c r="K133" s="2" t="s">
        <v>136</v>
      </c>
    </row>
    <row r="134" spans="1:11" ht="15" customHeight="1">
      <c r="A134" s="2">
        <v>133</v>
      </c>
      <c r="B134" s="2" t="s">
        <v>59</v>
      </c>
      <c r="C134" s="2" t="s">
        <v>24</v>
      </c>
      <c r="D134" s="2" t="s">
        <v>22</v>
      </c>
      <c r="E134" s="2">
        <f t="shared" si="12"/>
        <v>1</v>
      </c>
      <c r="F134" s="2">
        <f t="shared" si="13"/>
        <v>0</v>
      </c>
      <c r="G134" s="2">
        <f t="shared" si="14"/>
        <v>0</v>
      </c>
      <c r="H134" s="2">
        <f t="shared" si="15"/>
        <v>1</v>
      </c>
      <c r="I134" s="2">
        <f t="shared" si="16"/>
        <v>0</v>
      </c>
      <c r="J134" s="2">
        <f t="shared" si="17"/>
        <v>0</v>
      </c>
      <c r="K134" s="2" t="s">
        <v>136</v>
      </c>
    </row>
    <row r="135" spans="1:11" ht="15" customHeight="1">
      <c r="A135" s="2">
        <v>134</v>
      </c>
      <c r="B135" s="2" t="s">
        <v>59</v>
      </c>
      <c r="C135" s="2" t="s">
        <v>24</v>
      </c>
      <c r="D135" s="2" t="s">
        <v>22</v>
      </c>
      <c r="E135" s="2">
        <f t="shared" si="12"/>
        <v>1</v>
      </c>
      <c r="F135" s="2">
        <f t="shared" si="13"/>
        <v>0</v>
      </c>
      <c r="G135" s="2">
        <f t="shared" si="14"/>
        <v>0</v>
      </c>
      <c r="H135" s="2">
        <f t="shared" si="15"/>
        <v>1</v>
      </c>
      <c r="I135" s="2">
        <f t="shared" si="16"/>
        <v>0</v>
      </c>
      <c r="J135" s="2">
        <f t="shared" si="17"/>
        <v>0</v>
      </c>
      <c r="K135" s="2" t="s">
        <v>136</v>
      </c>
    </row>
    <row r="136" spans="1:11" ht="15" customHeight="1">
      <c r="A136" s="2">
        <v>135</v>
      </c>
      <c r="B136" s="2" t="s">
        <v>59</v>
      </c>
      <c r="C136" s="2" t="s">
        <v>24</v>
      </c>
      <c r="D136" s="2" t="s">
        <v>22</v>
      </c>
      <c r="E136" s="2">
        <f t="shared" si="12"/>
        <v>1</v>
      </c>
      <c r="F136" s="2">
        <f t="shared" si="13"/>
        <v>0</v>
      </c>
      <c r="G136" s="2">
        <f t="shared" si="14"/>
        <v>0</v>
      </c>
      <c r="H136" s="2">
        <f t="shared" si="15"/>
        <v>1</v>
      </c>
      <c r="I136" s="2">
        <f t="shared" si="16"/>
        <v>0</v>
      </c>
      <c r="J136" s="2">
        <f t="shared" si="17"/>
        <v>0</v>
      </c>
      <c r="K136" s="2" t="s">
        <v>136</v>
      </c>
    </row>
    <row r="137" spans="1:11" ht="15" customHeight="1">
      <c r="A137" s="2">
        <v>136</v>
      </c>
      <c r="B137" s="2" t="s">
        <v>59</v>
      </c>
      <c r="C137" s="2" t="s">
        <v>24</v>
      </c>
      <c r="D137" s="2" t="s">
        <v>22</v>
      </c>
      <c r="E137" s="2">
        <f t="shared" si="12"/>
        <v>1</v>
      </c>
      <c r="F137" s="2">
        <f t="shared" si="13"/>
        <v>0</v>
      </c>
      <c r="G137" s="2">
        <f t="shared" si="14"/>
        <v>0</v>
      </c>
      <c r="H137" s="2">
        <f t="shared" si="15"/>
        <v>1</v>
      </c>
      <c r="I137" s="2">
        <f t="shared" si="16"/>
        <v>0</v>
      </c>
      <c r="J137" s="2">
        <f t="shared" si="17"/>
        <v>0</v>
      </c>
      <c r="K137" s="2" t="s">
        <v>136</v>
      </c>
    </row>
    <row r="138" spans="1:11" ht="15" customHeight="1">
      <c r="A138" s="2">
        <v>137</v>
      </c>
      <c r="B138" s="2" t="s">
        <v>60</v>
      </c>
      <c r="C138" s="2" t="s">
        <v>28</v>
      </c>
      <c r="D138" s="2" t="s">
        <v>17</v>
      </c>
      <c r="E138" s="2">
        <f t="shared" si="12"/>
        <v>0</v>
      </c>
      <c r="F138" s="2">
        <f t="shared" si="13"/>
        <v>0</v>
      </c>
      <c r="G138" s="2">
        <f t="shared" si="14"/>
        <v>1</v>
      </c>
      <c r="H138" s="2">
        <f t="shared" si="15"/>
        <v>0</v>
      </c>
      <c r="I138" s="2">
        <f t="shared" si="16"/>
        <v>1</v>
      </c>
      <c r="J138" s="2">
        <f t="shared" si="17"/>
        <v>0</v>
      </c>
      <c r="K138" s="2" t="s">
        <v>136</v>
      </c>
    </row>
    <row r="139" spans="1:11" ht="15" customHeight="1">
      <c r="A139" s="2">
        <v>138</v>
      </c>
      <c r="B139" s="2" t="s">
        <v>60</v>
      </c>
      <c r="C139" s="2" t="s">
        <v>28</v>
      </c>
      <c r="D139" s="2" t="s">
        <v>17</v>
      </c>
      <c r="E139" s="2">
        <f t="shared" si="12"/>
        <v>0</v>
      </c>
      <c r="F139" s="2">
        <f t="shared" si="13"/>
        <v>0</v>
      </c>
      <c r="G139" s="2">
        <f t="shared" si="14"/>
        <v>1</v>
      </c>
      <c r="H139" s="2">
        <f t="shared" si="15"/>
        <v>0</v>
      </c>
      <c r="I139" s="2">
        <f t="shared" si="16"/>
        <v>1</v>
      </c>
      <c r="J139" s="2">
        <f t="shared" si="17"/>
        <v>0</v>
      </c>
      <c r="K139" s="2" t="s">
        <v>136</v>
      </c>
    </row>
    <row r="140" spans="1:11" ht="15" customHeight="1">
      <c r="A140" s="2">
        <v>139</v>
      </c>
      <c r="B140" s="2" t="s">
        <v>60</v>
      </c>
      <c r="C140" s="2" t="s">
        <v>28</v>
      </c>
      <c r="D140" s="2" t="s">
        <v>17</v>
      </c>
      <c r="E140" s="2">
        <f t="shared" si="12"/>
        <v>0</v>
      </c>
      <c r="F140" s="2">
        <f t="shared" si="13"/>
        <v>0</v>
      </c>
      <c r="G140" s="2">
        <f t="shared" si="14"/>
        <v>1</v>
      </c>
      <c r="H140" s="2">
        <f t="shared" si="15"/>
        <v>0</v>
      </c>
      <c r="I140" s="2">
        <f t="shared" si="16"/>
        <v>1</v>
      </c>
      <c r="J140" s="2">
        <f t="shared" si="17"/>
        <v>0</v>
      </c>
      <c r="K140" s="2" t="s">
        <v>136</v>
      </c>
    </row>
    <row r="141" spans="1:11" ht="15" customHeight="1">
      <c r="A141" s="2">
        <v>140</v>
      </c>
      <c r="B141" s="2" t="s">
        <v>60</v>
      </c>
      <c r="C141" s="2" t="s">
        <v>28</v>
      </c>
      <c r="D141" s="2" t="s">
        <v>17</v>
      </c>
      <c r="E141" s="2">
        <f t="shared" si="12"/>
        <v>0</v>
      </c>
      <c r="F141" s="2">
        <f t="shared" si="13"/>
        <v>0</v>
      </c>
      <c r="G141" s="2">
        <f t="shared" si="14"/>
        <v>1</v>
      </c>
      <c r="H141" s="2">
        <f t="shared" si="15"/>
        <v>0</v>
      </c>
      <c r="I141" s="2">
        <f t="shared" si="16"/>
        <v>1</v>
      </c>
      <c r="J141" s="2">
        <f t="shared" si="17"/>
        <v>0</v>
      </c>
      <c r="K141" s="2" t="s">
        <v>136</v>
      </c>
    </row>
    <row r="142" spans="1:11" ht="15" customHeight="1">
      <c r="A142" s="2">
        <v>141</v>
      </c>
      <c r="B142" s="2" t="s">
        <v>61</v>
      </c>
      <c r="C142" s="2" t="s">
        <v>31</v>
      </c>
      <c r="D142" s="2" t="s">
        <v>22</v>
      </c>
      <c r="E142" s="2">
        <f t="shared" si="12"/>
        <v>1</v>
      </c>
      <c r="F142" s="2">
        <f t="shared" si="13"/>
        <v>0</v>
      </c>
      <c r="G142" s="2">
        <f t="shared" si="14"/>
        <v>0</v>
      </c>
      <c r="H142" s="2">
        <f t="shared" si="15"/>
        <v>0</v>
      </c>
      <c r="I142" s="2">
        <f t="shared" si="16"/>
        <v>0</v>
      </c>
      <c r="J142" s="2">
        <f t="shared" si="17"/>
        <v>1</v>
      </c>
      <c r="K142" s="2" t="s">
        <v>136</v>
      </c>
    </row>
    <row r="143" spans="1:11" ht="15" customHeight="1">
      <c r="A143" s="2">
        <v>142</v>
      </c>
      <c r="B143" s="2" t="s">
        <v>61</v>
      </c>
      <c r="C143" s="2" t="s">
        <v>31</v>
      </c>
      <c r="D143" s="2" t="s">
        <v>22</v>
      </c>
      <c r="E143" s="2">
        <f t="shared" si="12"/>
        <v>1</v>
      </c>
      <c r="F143" s="2">
        <f t="shared" si="13"/>
        <v>0</v>
      </c>
      <c r="G143" s="2">
        <f t="shared" si="14"/>
        <v>0</v>
      </c>
      <c r="H143" s="2">
        <f t="shared" si="15"/>
        <v>0</v>
      </c>
      <c r="I143" s="2">
        <f t="shared" si="16"/>
        <v>0</v>
      </c>
      <c r="J143" s="2">
        <f t="shared" si="17"/>
        <v>1</v>
      </c>
      <c r="K143" s="2" t="s">
        <v>136</v>
      </c>
    </row>
    <row r="144" spans="1:11" ht="15" customHeight="1">
      <c r="A144" s="2">
        <v>143</v>
      </c>
      <c r="B144" s="2" t="s">
        <v>61</v>
      </c>
      <c r="C144" s="2" t="s">
        <v>31</v>
      </c>
      <c r="D144" s="2" t="s">
        <v>22</v>
      </c>
      <c r="E144" s="2">
        <f t="shared" si="12"/>
        <v>1</v>
      </c>
      <c r="F144" s="2">
        <f t="shared" si="13"/>
        <v>0</v>
      </c>
      <c r="G144" s="2">
        <f t="shared" si="14"/>
        <v>0</v>
      </c>
      <c r="H144" s="2">
        <f t="shared" si="15"/>
        <v>0</v>
      </c>
      <c r="I144" s="2">
        <f t="shared" si="16"/>
        <v>0</v>
      </c>
      <c r="J144" s="2">
        <f t="shared" si="17"/>
        <v>1</v>
      </c>
      <c r="K144" s="2" t="s">
        <v>136</v>
      </c>
    </row>
    <row r="145" spans="1:11" ht="15" customHeight="1">
      <c r="A145" s="2">
        <v>144</v>
      </c>
      <c r="B145" s="2" t="s">
        <v>61</v>
      </c>
      <c r="C145" s="2" t="s">
        <v>31</v>
      </c>
      <c r="D145" s="2" t="s">
        <v>22</v>
      </c>
      <c r="E145" s="2">
        <f t="shared" si="12"/>
        <v>1</v>
      </c>
      <c r="F145" s="2">
        <f t="shared" si="13"/>
        <v>0</v>
      </c>
      <c r="G145" s="2">
        <f t="shared" si="14"/>
        <v>0</v>
      </c>
      <c r="H145" s="2">
        <f t="shared" si="15"/>
        <v>0</v>
      </c>
      <c r="I145" s="2">
        <f t="shared" si="16"/>
        <v>0</v>
      </c>
      <c r="J145" s="2">
        <f t="shared" si="17"/>
        <v>1</v>
      </c>
      <c r="K145" s="2" t="s">
        <v>136</v>
      </c>
    </row>
    <row r="146" spans="1:11" ht="15" customHeight="1">
      <c r="A146" s="2">
        <v>145</v>
      </c>
      <c r="B146" s="2" t="s">
        <v>62</v>
      </c>
      <c r="C146" s="2" t="s">
        <v>24</v>
      </c>
      <c r="D146" s="2" t="s">
        <v>17</v>
      </c>
      <c r="E146" s="2">
        <f t="shared" si="12"/>
        <v>0</v>
      </c>
      <c r="F146" s="2">
        <f t="shared" si="13"/>
        <v>0</v>
      </c>
      <c r="G146" s="2">
        <f t="shared" si="14"/>
        <v>1</v>
      </c>
      <c r="H146" s="2">
        <f t="shared" si="15"/>
        <v>1</v>
      </c>
      <c r="I146" s="2">
        <f t="shared" si="16"/>
        <v>0</v>
      </c>
      <c r="J146" s="2">
        <f t="shared" si="17"/>
        <v>0</v>
      </c>
      <c r="K146" s="2" t="s">
        <v>136</v>
      </c>
    </row>
    <row r="147" spans="1:11" ht="15" customHeight="1">
      <c r="A147" s="2">
        <v>146</v>
      </c>
      <c r="B147" s="2" t="s">
        <v>62</v>
      </c>
      <c r="C147" s="2" t="s">
        <v>24</v>
      </c>
      <c r="D147" s="2" t="s">
        <v>17</v>
      </c>
      <c r="E147" s="2">
        <f t="shared" si="12"/>
        <v>0</v>
      </c>
      <c r="F147" s="2">
        <f t="shared" si="13"/>
        <v>0</v>
      </c>
      <c r="G147" s="2">
        <f t="shared" si="14"/>
        <v>1</v>
      </c>
      <c r="H147" s="2">
        <f t="shared" si="15"/>
        <v>1</v>
      </c>
      <c r="I147" s="2">
        <f t="shared" si="16"/>
        <v>0</v>
      </c>
      <c r="J147" s="2">
        <f t="shared" si="17"/>
        <v>0</v>
      </c>
      <c r="K147" s="2" t="s">
        <v>136</v>
      </c>
    </row>
    <row r="148" spans="1:11" ht="15" customHeight="1">
      <c r="A148" s="2">
        <v>147</v>
      </c>
      <c r="B148" s="2" t="s">
        <v>62</v>
      </c>
      <c r="C148" s="2" t="s">
        <v>24</v>
      </c>
      <c r="D148" s="2" t="s">
        <v>17</v>
      </c>
      <c r="E148" s="2">
        <f t="shared" si="12"/>
        <v>0</v>
      </c>
      <c r="F148" s="2">
        <f t="shared" si="13"/>
        <v>0</v>
      </c>
      <c r="G148" s="2">
        <f t="shared" si="14"/>
        <v>1</v>
      </c>
      <c r="H148" s="2">
        <f t="shared" si="15"/>
        <v>1</v>
      </c>
      <c r="I148" s="2">
        <f t="shared" si="16"/>
        <v>0</v>
      </c>
      <c r="J148" s="2">
        <f t="shared" si="17"/>
        <v>0</v>
      </c>
      <c r="K148" s="2" t="s">
        <v>136</v>
      </c>
    </row>
    <row r="149" spans="1:11" ht="15" customHeight="1">
      <c r="A149" s="2">
        <v>148</v>
      </c>
      <c r="B149" s="2" t="s">
        <v>62</v>
      </c>
      <c r="C149" s="2" t="s">
        <v>24</v>
      </c>
      <c r="D149" s="2" t="s">
        <v>17</v>
      </c>
      <c r="E149" s="2">
        <f t="shared" si="12"/>
        <v>0</v>
      </c>
      <c r="F149" s="2">
        <f t="shared" si="13"/>
        <v>0</v>
      </c>
      <c r="G149" s="2">
        <f t="shared" si="14"/>
        <v>1</v>
      </c>
      <c r="H149" s="2">
        <f t="shared" si="15"/>
        <v>1</v>
      </c>
      <c r="I149" s="2">
        <f t="shared" si="16"/>
        <v>0</v>
      </c>
      <c r="J149" s="2">
        <f t="shared" si="17"/>
        <v>0</v>
      </c>
      <c r="K149" s="2" t="s">
        <v>136</v>
      </c>
    </row>
    <row r="150" spans="1:11" ht="15" customHeight="1">
      <c r="A150" s="2">
        <v>149</v>
      </c>
      <c r="B150" s="2" t="s">
        <v>63</v>
      </c>
      <c r="C150" s="2" t="s">
        <v>28</v>
      </c>
      <c r="D150" s="2" t="s">
        <v>32</v>
      </c>
      <c r="E150" s="2">
        <f t="shared" si="12"/>
        <v>0</v>
      </c>
      <c r="F150" s="2">
        <f t="shared" si="13"/>
        <v>1</v>
      </c>
      <c r="G150" s="2">
        <f t="shared" si="14"/>
        <v>0</v>
      </c>
      <c r="H150" s="2">
        <f t="shared" si="15"/>
        <v>0</v>
      </c>
      <c r="I150" s="2">
        <f t="shared" si="16"/>
        <v>1</v>
      </c>
      <c r="J150" s="2">
        <f t="shared" si="17"/>
        <v>0</v>
      </c>
      <c r="K150" s="2" t="s">
        <v>136</v>
      </c>
    </row>
    <row r="151" spans="1:11" ht="15" customHeight="1">
      <c r="A151" s="2">
        <v>150</v>
      </c>
      <c r="B151" s="2" t="s">
        <v>63</v>
      </c>
      <c r="C151" s="2" t="s">
        <v>28</v>
      </c>
      <c r="D151" s="2" t="s">
        <v>32</v>
      </c>
      <c r="E151" s="2">
        <f t="shared" si="12"/>
        <v>0</v>
      </c>
      <c r="F151" s="2">
        <f t="shared" si="13"/>
        <v>1</v>
      </c>
      <c r="G151" s="2">
        <f t="shared" si="14"/>
        <v>0</v>
      </c>
      <c r="H151" s="2">
        <f t="shared" si="15"/>
        <v>0</v>
      </c>
      <c r="I151" s="2">
        <f t="shared" si="16"/>
        <v>1</v>
      </c>
      <c r="J151" s="2">
        <f t="shared" si="17"/>
        <v>0</v>
      </c>
      <c r="K151" s="2" t="s">
        <v>136</v>
      </c>
    </row>
    <row r="152" spans="1:11" ht="15" customHeight="1">
      <c r="A152" s="2">
        <v>151</v>
      </c>
      <c r="B152" s="2" t="s">
        <v>63</v>
      </c>
      <c r="C152" s="2" t="s">
        <v>28</v>
      </c>
      <c r="D152" s="2" t="s">
        <v>32</v>
      </c>
      <c r="E152" s="2">
        <f t="shared" si="12"/>
        <v>0</v>
      </c>
      <c r="F152" s="2">
        <f t="shared" si="13"/>
        <v>1</v>
      </c>
      <c r="G152" s="2">
        <f t="shared" si="14"/>
        <v>0</v>
      </c>
      <c r="H152" s="2">
        <f t="shared" si="15"/>
        <v>0</v>
      </c>
      <c r="I152" s="2">
        <f t="shared" si="16"/>
        <v>1</v>
      </c>
      <c r="J152" s="2">
        <f t="shared" si="17"/>
        <v>0</v>
      </c>
      <c r="K152" s="2" t="s">
        <v>136</v>
      </c>
    </row>
    <row r="153" spans="1:11" ht="15" customHeight="1">
      <c r="A153" s="2">
        <v>152</v>
      </c>
      <c r="B153" s="2" t="s">
        <v>63</v>
      </c>
      <c r="C153" s="2" t="s">
        <v>28</v>
      </c>
      <c r="D153" s="2" t="s">
        <v>32</v>
      </c>
      <c r="E153" s="2">
        <f t="shared" si="12"/>
        <v>0</v>
      </c>
      <c r="F153" s="2">
        <f t="shared" si="13"/>
        <v>1</v>
      </c>
      <c r="G153" s="2">
        <f t="shared" si="14"/>
        <v>0</v>
      </c>
      <c r="H153" s="2">
        <f t="shared" si="15"/>
        <v>0</v>
      </c>
      <c r="I153" s="2">
        <f t="shared" si="16"/>
        <v>1</v>
      </c>
      <c r="J153" s="2">
        <f t="shared" si="17"/>
        <v>0</v>
      </c>
      <c r="K153" s="2" t="s">
        <v>136</v>
      </c>
    </row>
    <row r="154" spans="1:11" ht="15" customHeight="1">
      <c r="A154" s="2">
        <v>153</v>
      </c>
      <c r="B154" s="2" t="s">
        <v>64</v>
      </c>
      <c r="C154" s="2" t="s">
        <v>16</v>
      </c>
      <c r="D154" s="2" t="s">
        <v>22</v>
      </c>
      <c r="E154" s="2">
        <f t="shared" si="12"/>
        <v>1</v>
      </c>
      <c r="F154" s="2">
        <f t="shared" si="13"/>
        <v>0</v>
      </c>
      <c r="G154" s="2">
        <f t="shared" si="14"/>
        <v>0</v>
      </c>
      <c r="H154" s="2">
        <f t="shared" si="15"/>
        <v>0</v>
      </c>
      <c r="I154" s="2">
        <f t="shared" si="16"/>
        <v>0</v>
      </c>
      <c r="J154" s="2">
        <f t="shared" si="17"/>
        <v>0</v>
      </c>
      <c r="K154" s="2" t="s">
        <v>136</v>
      </c>
    </row>
    <row r="155" spans="1:11" ht="15" customHeight="1">
      <c r="A155" s="2">
        <v>154</v>
      </c>
      <c r="B155" s="2" t="s">
        <v>64</v>
      </c>
      <c r="C155" s="2" t="s">
        <v>16</v>
      </c>
      <c r="D155" s="2" t="s">
        <v>22</v>
      </c>
      <c r="E155" s="2">
        <f t="shared" si="12"/>
        <v>1</v>
      </c>
      <c r="F155" s="2">
        <f t="shared" si="13"/>
        <v>0</v>
      </c>
      <c r="G155" s="2">
        <f t="shared" si="14"/>
        <v>0</v>
      </c>
      <c r="H155" s="2">
        <f t="shared" si="15"/>
        <v>0</v>
      </c>
      <c r="I155" s="2">
        <f t="shared" si="16"/>
        <v>0</v>
      </c>
      <c r="J155" s="2">
        <f t="shared" si="17"/>
        <v>0</v>
      </c>
      <c r="K155" s="2" t="s">
        <v>136</v>
      </c>
    </row>
    <row r="156" spans="1:11" ht="15" customHeight="1">
      <c r="A156" s="2">
        <v>155</v>
      </c>
      <c r="B156" s="2" t="s">
        <v>64</v>
      </c>
      <c r="C156" s="2" t="s">
        <v>16</v>
      </c>
      <c r="D156" s="2" t="s">
        <v>22</v>
      </c>
      <c r="E156" s="2">
        <f t="shared" si="12"/>
        <v>1</v>
      </c>
      <c r="F156" s="2">
        <f t="shared" si="13"/>
        <v>0</v>
      </c>
      <c r="G156" s="2">
        <f t="shared" si="14"/>
        <v>0</v>
      </c>
      <c r="H156" s="2">
        <f t="shared" si="15"/>
        <v>0</v>
      </c>
      <c r="I156" s="2">
        <f t="shared" si="16"/>
        <v>0</v>
      </c>
      <c r="J156" s="2">
        <f t="shared" si="17"/>
        <v>0</v>
      </c>
      <c r="K156" s="2" t="s">
        <v>136</v>
      </c>
    </row>
    <row r="157" spans="1:11" ht="15" customHeight="1">
      <c r="A157" s="2">
        <v>156</v>
      </c>
      <c r="B157" s="2" t="s">
        <v>64</v>
      </c>
      <c r="C157" s="2" t="s">
        <v>16</v>
      </c>
      <c r="D157" s="2" t="s">
        <v>22</v>
      </c>
      <c r="E157" s="2">
        <f t="shared" si="12"/>
        <v>1</v>
      </c>
      <c r="F157" s="2">
        <f t="shared" si="13"/>
        <v>0</v>
      </c>
      <c r="G157" s="2">
        <f t="shared" si="14"/>
        <v>0</v>
      </c>
      <c r="H157" s="2">
        <f t="shared" si="15"/>
        <v>0</v>
      </c>
      <c r="I157" s="2">
        <f t="shared" si="16"/>
        <v>0</v>
      </c>
      <c r="J157" s="2">
        <f t="shared" si="17"/>
        <v>0</v>
      </c>
      <c r="K157" s="2" t="s">
        <v>136</v>
      </c>
    </row>
    <row r="158" spans="1:11" ht="15" customHeight="1">
      <c r="A158" s="2">
        <v>157</v>
      </c>
      <c r="B158" s="2" t="s">
        <v>65</v>
      </c>
      <c r="C158" s="2" t="s">
        <v>24</v>
      </c>
      <c r="D158" s="2" t="s">
        <v>32</v>
      </c>
      <c r="E158" s="2">
        <f t="shared" si="12"/>
        <v>0</v>
      </c>
      <c r="F158" s="2">
        <f t="shared" si="13"/>
        <v>1</v>
      </c>
      <c r="G158" s="2">
        <f t="shared" si="14"/>
        <v>0</v>
      </c>
      <c r="H158" s="2">
        <f t="shared" si="15"/>
        <v>1</v>
      </c>
      <c r="I158" s="2">
        <f t="shared" si="16"/>
        <v>0</v>
      </c>
      <c r="J158" s="2">
        <f t="shared" si="17"/>
        <v>0</v>
      </c>
      <c r="K158" s="2" t="s">
        <v>136</v>
      </c>
    </row>
    <row r="159" spans="1:11" ht="15" customHeight="1">
      <c r="A159" s="2">
        <v>158</v>
      </c>
      <c r="B159" s="2" t="s">
        <v>65</v>
      </c>
      <c r="C159" s="2" t="s">
        <v>24</v>
      </c>
      <c r="D159" s="2" t="s">
        <v>32</v>
      </c>
      <c r="E159" s="2">
        <f t="shared" si="12"/>
        <v>0</v>
      </c>
      <c r="F159" s="2">
        <f t="shared" si="13"/>
        <v>1</v>
      </c>
      <c r="G159" s="2">
        <f t="shared" si="14"/>
        <v>0</v>
      </c>
      <c r="H159" s="2">
        <f t="shared" si="15"/>
        <v>1</v>
      </c>
      <c r="I159" s="2">
        <f t="shared" si="16"/>
        <v>0</v>
      </c>
      <c r="J159" s="2">
        <f t="shared" si="17"/>
        <v>0</v>
      </c>
      <c r="K159" s="2" t="s">
        <v>136</v>
      </c>
    </row>
    <row r="160" spans="1:11" ht="15" customHeight="1">
      <c r="A160" s="2">
        <v>159</v>
      </c>
      <c r="B160" s="2" t="s">
        <v>65</v>
      </c>
      <c r="C160" s="2" t="s">
        <v>24</v>
      </c>
      <c r="D160" s="2" t="s">
        <v>32</v>
      </c>
      <c r="E160" s="2">
        <f t="shared" si="12"/>
        <v>0</v>
      </c>
      <c r="F160" s="2">
        <f t="shared" si="13"/>
        <v>1</v>
      </c>
      <c r="G160" s="2">
        <f t="shared" si="14"/>
        <v>0</v>
      </c>
      <c r="H160" s="2">
        <f t="shared" si="15"/>
        <v>1</v>
      </c>
      <c r="I160" s="2">
        <f t="shared" si="16"/>
        <v>0</v>
      </c>
      <c r="J160" s="2">
        <f t="shared" si="17"/>
        <v>0</v>
      </c>
      <c r="K160" s="2" t="s">
        <v>136</v>
      </c>
    </row>
    <row r="161" spans="1:11" ht="15" customHeight="1">
      <c r="A161" s="2">
        <v>160</v>
      </c>
      <c r="B161" s="2" t="s">
        <v>65</v>
      </c>
      <c r="C161" s="2" t="s">
        <v>24</v>
      </c>
      <c r="D161" s="2" t="s">
        <v>32</v>
      </c>
      <c r="E161" s="2">
        <f t="shared" si="12"/>
        <v>0</v>
      </c>
      <c r="F161" s="2">
        <f t="shared" si="13"/>
        <v>1</v>
      </c>
      <c r="G161" s="2">
        <f t="shared" si="14"/>
        <v>0</v>
      </c>
      <c r="H161" s="2">
        <f t="shared" si="15"/>
        <v>1</v>
      </c>
      <c r="I161" s="2">
        <f t="shared" si="16"/>
        <v>0</v>
      </c>
      <c r="J161" s="2">
        <f t="shared" si="17"/>
        <v>0</v>
      </c>
      <c r="K161" s="2" t="s">
        <v>136</v>
      </c>
    </row>
    <row r="162" spans="1:11" ht="15" customHeight="1">
      <c r="A162" s="2">
        <v>161</v>
      </c>
      <c r="B162" s="2" t="s">
        <v>66</v>
      </c>
      <c r="C162" s="2" t="s">
        <v>28</v>
      </c>
      <c r="D162" s="2" t="s">
        <v>22</v>
      </c>
      <c r="E162" s="2">
        <f t="shared" si="12"/>
        <v>1</v>
      </c>
      <c r="F162" s="2">
        <f t="shared" si="13"/>
        <v>0</v>
      </c>
      <c r="G162" s="2">
        <f t="shared" si="14"/>
        <v>0</v>
      </c>
      <c r="H162" s="2">
        <f t="shared" si="15"/>
        <v>0</v>
      </c>
      <c r="I162" s="2">
        <f t="shared" si="16"/>
        <v>1</v>
      </c>
      <c r="J162" s="2">
        <f t="shared" si="17"/>
        <v>0</v>
      </c>
      <c r="K162" s="2" t="s">
        <v>136</v>
      </c>
    </row>
    <row r="163" spans="1:11" ht="15" customHeight="1">
      <c r="A163" s="2">
        <v>162</v>
      </c>
      <c r="B163" s="2" t="s">
        <v>66</v>
      </c>
      <c r="C163" s="2" t="s">
        <v>28</v>
      </c>
      <c r="D163" s="2" t="s">
        <v>22</v>
      </c>
      <c r="E163" s="2">
        <f t="shared" si="12"/>
        <v>1</v>
      </c>
      <c r="F163" s="2">
        <f t="shared" si="13"/>
        <v>0</v>
      </c>
      <c r="G163" s="2">
        <f t="shared" si="14"/>
        <v>0</v>
      </c>
      <c r="H163" s="2">
        <f t="shared" si="15"/>
        <v>0</v>
      </c>
      <c r="I163" s="2">
        <f t="shared" si="16"/>
        <v>1</v>
      </c>
      <c r="J163" s="2">
        <f t="shared" si="17"/>
        <v>0</v>
      </c>
      <c r="K163" s="2" t="s">
        <v>136</v>
      </c>
    </row>
    <row r="164" spans="1:11" ht="15" customHeight="1">
      <c r="A164" s="2">
        <v>163</v>
      </c>
      <c r="B164" s="2" t="s">
        <v>66</v>
      </c>
      <c r="C164" s="2" t="s">
        <v>28</v>
      </c>
      <c r="D164" s="2" t="s">
        <v>22</v>
      </c>
      <c r="E164" s="2">
        <f t="shared" si="12"/>
        <v>1</v>
      </c>
      <c r="F164" s="2">
        <f t="shared" si="13"/>
        <v>0</v>
      </c>
      <c r="G164" s="2">
        <f t="shared" si="14"/>
        <v>0</v>
      </c>
      <c r="H164" s="2">
        <f t="shared" si="15"/>
        <v>0</v>
      </c>
      <c r="I164" s="2">
        <f t="shared" si="16"/>
        <v>1</v>
      </c>
      <c r="J164" s="2">
        <f t="shared" si="17"/>
        <v>0</v>
      </c>
      <c r="K164" s="2" t="s">
        <v>136</v>
      </c>
    </row>
    <row r="165" spans="1:11" ht="15" customHeight="1">
      <c r="A165" s="2">
        <v>164</v>
      </c>
      <c r="B165" s="2" t="s">
        <v>66</v>
      </c>
      <c r="C165" s="2" t="s">
        <v>28</v>
      </c>
      <c r="D165" s="2" t="s">
        <v>22</v>
      </c>
      <c r="E165" s="2">
        <f t="shared" si="12"/>
        <v>1</v>
      </c>
      <c r="F165" s="2">
        <f t="shared" si="13"/>
        <v>0</v>
      </c>
      <c r="G165" s="2">
        <f t="shared" si="14"/>
        <v>0</v>
      </c>
      <c r="H165" s="2">
        <f t="shared" si="15"/>
        <v>0</v>
      </c>
      <c r="I165" s="2">
        <f t="shared" si="16"/>
        <v>1</v>
      </c>
      <c r="J165" s="2">
        <f t="shared" si="17"/>
        <v>0</v>
      </c>
      <c r="K165" s="2" t="s">
        <v>136</v>
      </c>
    </row>
    <row r="166" spans="1:11" ht="15" customHeight="1">
      <c r="A166" s="2">
        <v>165</v>
      </c>
      <c r="B166" s="2" t="s">
        <v>67</v>
      </c>
      <c r="C166" s="2" t="s">
        <v>24</v>
      </c>
      <c r="D166" s="2" t="s">
        <v>32</v>
      </c>
      <c r="E166" s="2">
        <f t="shared" si="12"/>
        <v>0</v>
      </c>
      <c r="F166" s="2">
        <f t="shared" si="13"/>
        <v>1</v>
      </c>
      <c r="G166" s="2">
        <f t="shared" si="14"/>
        <v>0</v>
      </c>
      <c r="H166" s="2">
        <f t="shared" si="15"/>
        <v>1</v>
      </c>
      <c r="I166" s="2">
        <f t="shared" si="16"/>
        <v>0</v>
      </c>
      <c r="J166" s="2">
        <f t="shared" si="17"/>
        <v>0</v>
      </c>
      <c r="K166" s="2" t="s">
        <v>136</v>
      </c>
    </row>
    <row r="167" spans="1:11" ht="15" customHeight="1">
      <c r="A167" s="2">
        <v>166</v>
      </c>
      <c r="B167" s="2" t="s">
        <v>67</v>
      </c>
      <c r="C167" s="2" t="s">
        <v>24</v>
      </c>
      <c r="D167" s="2" t="s">
        <v>32</v>
      </c>
      <c r="E167" s="2">
        <f t="shared" si="12"/>
        <v>0</v>
      </c>
      <c r="F167" s="2">
        <f t="shared" si="13"/>
        <v>1</v>
      </c>
      <c r="G167" s="2">
        <f t="shared" si="14"/>
        <v>0</v>
      </c>
      <c r="H167" s="2">
        <f t="shared" si="15"/>
        <v>1</v>
      </c>
      <c r="I167" s="2">
        <f t="shared" si="16"/>
        <v>0</v>
      </c>
      <c r="J167" s="2">
        <f t="shared" si="17"/>
        <v>0</v>
      </c>
      <c r="K167" s="2" t="s">
        <v>136</v>
      </c>
    </row>
    <row r="168" spans="1:11" ht="15" customHeight="1">
      <c r="A168" s="2">
        <v>167</v>
      </c>
      <c r="B168" s="2" t="s">
        <v>67</v>
      </c>
      <c r="C168" s="2" t="s">
        <v>24</v>
      </c>
      <c r="D168" s="2" t="s">
        <v>32</v>
      </c>
      <c r="E168" s="2">
        <f t="shared" si="12"/>
        <v>0</v>
      </c>
      <c r="F168" s="2">
        <f t="shared" si="13"/>
        <v>1</v>
      </c>
      <c r="G168" s="2">
        <f t="shared" si="14"/>
        <v>0</v>
      </c>
      <c r="H168" s="2">
        <f t="shared" si="15"/>
        <v>1</v>
      </c>
      <c r="I168" s="2">
        <f t="shared" si="16"/>
        <v>0</v>
      </c>
      <c r="J168" s="2">
        <f t="shared" si="17"/>
        <v>0</v>
      </c>
      <c r="K168" s="2" t="s">
        <v>136</v>
      </c>
    </row>
    <row r="169" spans="1:11" ht="15" customHeight="1">
      <c r="A169" s="2">
        <v>168</v>
      </c>
      <c r="B169" s="2" t="s">
        <v>67</v>
      </c>
      <c r="C169" s="2" t="s">
        <v>24</v>
      </c>
      <c r="D169" s="2" t="s">
        <v>32</v>
      </c>
      <c r="E169" s="2">
        <f t="shared" si="12"/>
        <v>0</v>
      </c>
      <c r="F169" s="2">
        <f t="shared" si="13"/>
        <v>1</v>
      </c>
      <c r="G169" s="2">
        <f t="shared" si="14"/>
        <v>0</v>
      </c>
      <c r="H169" s="2">
        <f t="shared" si="15"/>
        <v>1</v>
      </c>
      <c r="I169" s="2">
        <f t="shared" si="16"/>
        <v>0</v>
      </c>
      <c r="J169" s="2">
        <f t="shared" si="17"/>
        <v>0</v>
      </c>
      <c r="K169" s="2" t="s">
        <v>136</v>
      </c>
    </row>
    <row r="170" spans="1:11" ht="15" customHeight="1">
      <c r="A170" s="2">
        <v>169</v>
      </c>
      <c r="B170" s="2" t="s">
        <v>68</v>
      </c>
      <c r="C170" s="2" t="s">
        <v>16</v>
      </c>
      <c r="D170" s="2" t="s">
        <v>17</v>
      </c>
      <c r="E170" s="2">
        <f t="shared" si="12"/>
        <v>0</v>
      </c>
      <c r="F170" s="2">
        <f t="shared" si="13"/>
        <v>0</v>
      </c>
      <c r="G170" s="2">
        <f t="shared" si="14"/>
        <v>1</v>
      </c>
      <c r="H170" s="2">
        <f t="shared" si="15"/>
        <v>0</v>
      </c>
      <c r="I170" s="2">
        <f t="shared" si="16"/>
        <v>0</v>
      </c>
      <c r="J170" s="2">
        <f t="shared" si="17"/>
        <v>0</v>
      </c>
      <c r="K170" s="2" t="s">
        <v>136</v>
      </c>
    </row>
    <row r="171" spans="1:11" ht="15" customHeight="1">
      <c r="A171" s="2">
        <v>170</v>
      </c>
      <c r="B171" s="2" t="s">
        <v>68</v>
      </c>
      <c r="C171" s="2" t="s">
        <v>16</v>
      </c>
      <c r="D171" s="2" t="s">
        <v>17</v>
      </c>
      <c r="E171" s="2">
        <f t="shared" si="12"/>
        <v>0</v>
      </c>
      <c r="F171" s="2">
        <f t="shared" si="13"/>
        <v>0</v>
      </c>
      <c r="G171" s="2">
        <f t="shared" si="14"/>
        <v>1</v>
      </c>
      <c r="H171" s="2">
        <f t="shared" si="15"/>
        <v>0</v>
      </c>
      <c r="I171" s="2">
        <f t="shared" si="16"/>
        <v>0</v>
      </c>
      <c r="J171" s="2">
        <f t="shared" si="17"/>
        <v>0</v>
      </c>
      <c r="K171" s="2" t="s">
        <v>136</v>
      </c>
    </row>
    <row r="172" spans="1:11" ht="15" customHeight="1">
      <c r="A172" s="2">
        <v>171</v>
      </c>
      <c r="B172" s="2" t="s">
        <v>68</v>
      </c>
      <c r="C172" s="2" t="s">
        <v>16</v>
      </c>
      <c r="D172" s="2" t="s">
        <v>17</v>
      </c>
      <c r="E172" s="2">
        <f t="shared" si="12"/>
        <v>0</v>
      </c>
      <c r="F172" s="2">
        <f t="shared" si="13"/>
        <v>0</v>
      </c>
      <c r="G172" s="2">
        <f t="shared" si="14"/>
        <v>1</v>
      </c>
      <c r="H172" s="2">
        <f t="shared" si="15"/>
        <v>0</v>
      </c>
      <c r="I172" s="2">
        <f t="shared" si="16"/>
        <v>0</v>
      </c>
      <c r="J172" s="2">
        <f t="shared" si="17"/>
        <v>0</v>
      </c>
      <c r="K172" s="2" t="s">
        <v>136</v>
      </c>
    </row>
    <row r="173" spans="1:11" ht="15" customHeight="1">
      <c r="A173" s="2">
        <v>172</v>
      </c>
      <c r="B173" s="2" t="s">
        <v>68</v>
      </c>
      <c r="C173" s="2" t="s">
        <v>16</v>
      </c>
      <c r="D173" s="2" t="s">
        <v>17</v>
      </c>
      <c r="E173" s="2">
        <f t="shared" si="12"/>
        <v>0</v>
      </c>
      <c r="F173" s="2">
        <f t="shared" si="13"/>
        <v>0</v>
      </c>
      <c r="G173" s="2">
        <f t="shared" si="14"/>
        <v>1</v>
      </c>
      <c r="H173" s="2">
        <f t="shared" si="15"/>
        <v>0</v>
      </c>
      <c r="I173" s="2">
        <f t="shared" si="16"/>
        <v>0</v>
      </c>
      <c r="J173" s="2">
        <f t="shared" si="17"/>
        <v>0</v>
      </c>
      <c r="K173" s="2" t="s">
        <v>136</v>
      </c>
    </row>
    <row r="174" spans="1:11" ht="15" customHeight="1">
      <c r="A174" s="2">
        <v>173</v>
      </c>
      <c r="B174" s="2" t="s">
        <v>69</v>
      </c>
      <c r="C174" s="2" t="s">
        <v>16</v>
      </c>
      <c r="D174" s="2" t="s">
        <v>17</v>
      </c>
      <c r="E174" s="2">
        <f t="shared" si="12"/>
        <v>0</v>
      </c>
      <c r="F174" s="2">
        <f t="shared" si="13"/>
        <v>0</v>
      </c>
      <c r="G174" s="2">
        <f t="shared" si="14"/>
        <v>1</v>
      </c>
      <c r="H174" s="2">
        <f t="shared" si="15"/>
        <v>0</v>
      </c>
      <c r="I174" s="2">
        <f t="shared" si="16"/>
        <v>0</v>
      </c>
      <c r="J174" s="2">
        <f t="shared" si="17"/>
        <v>0</v>
      </c>
      <c r="K174" s="2" t="s">
        <v>136</v>
      </c>
    </row>
    <row r="175" spans="1:11" ht="15" customHeight="1">
      <c r="A175" s="2">
        <v>174</v>
      </c>
      <c r="B175" s="2" t="s">
        <v>69</v>
      </c>
      <c r="C175" s="2" t="s">
        <v>16</v>
      </c>
      <c r="D175" s="2" t="s">
        <v>17</v>
      </c>
      <c r="E175" s="2">
        <f t="shared" si="12"/>
        <v>0</v>
      </c>
      <c r="F175" s="2">
        <f t="shared" si="13"/>
        <v>0</v>
      </c>
      <c r="G175" s="2">
        <f t="shared" si="14"/>
        <v>1</v>
      </c>
      <c r="H175" s="2">
        <f t="shared" si="15"/>
        <v>0</v>
      </c>
      <c r="I175" s="2">
        <f t="shared" si="16"/>
        <v>0</v>
      </c>
      <c r="J175" s="2">
        <f t="shared" si="17"/>
        <v>0</v>
      </c>
      <c r="K175" s="2" t="s">
        <v>136</v>
      </c>
    </row>
    <row r="176" spans="1:11" ht="15" customHeight="1">
      <c r="A176" s="2">
        <v>175</v>
      </c>
      <c r="B176" s="2" t="s">
        <v>69</v>
      </c>
      <c r="C176" s="2" t="s">
        <v>16</v>
      </c>
      <c r="D176" s="2" t="s">
        <v>17</v>
      </c>
      <c r="E176" s="2">
        <f t="shared" si="12"/>
        <v>0</v>
      </c>
      <c r="F176" s="2">
        <f t="shared" si="13"/>
        <v>0</v>
      </c>
      <c r="G176" s="2">
        <f t="shared" si="14"/>
        <v>1</v>
      </c>
      <c r="H176" s="2">
        <f t="shared" si="15"/>
        <v>0</v>
      </c>
      <c r="I176" s="2">
        <f t="shared" si="16"/>
        <v>0</v>
      </c>
      <c r="J176" s="2">
        <f t="shared" si="17"/>
        <v>0</v>
      </c>
      <c r="K176" s="2" t="s">
        <v>136</v>
      </c>
    </row>
    <row r="177" spans="1:11" ht="15" customHeight="1">
      <c r="A177" s="2">
        <v>176</v>
      </c>
      <c r="B177" s="2" t="s">
        <v>69</v>
      </c>
      <c r="C177" s="2" t="s">
        <v>16</v>
      </c>
      <c r="D177" s="2" t="s">
        <v>17</v>
      </c>
      <c r="E177" s="2">
        <f t="shared" si="12"/>
        <v>0</v>
      </c>
      <c r="F177" s="2">
        <f t="shared" si="13"/>
        <v>0</v>
      </c>
      <c r="G177" s="2">
        <f t="shared" si="14"/>
        <v>1</v>
      </c>
      <c r="H177" s="2">
        <f t="shared" si="15"/>
        <v>0</v>
      </c>
      <c r="I177" s="2">
        <f t="shared" si="16"/>
        <v>0</v>
      </c>
      <c r="J177" s="2">
        <f t="shared" si="17"/>
        <v>0</v>
      </c>
      <c r="K177" s="2" t="s">
        <v>136</v>
      </c>
    </row>
    <row r="178" spans="1:11" ht="15" customHeight="1">
      <c r="A178" s="2">
        <v>177</v>
      </c>
      <c r="B178" s="2" t="s">
        <v>70</v>
      </c>
      <c r="C178" s="2" t="s">
        <v>31</v>
      </c>
      <c r="D178" s="2" t="s">
        <v>25</v>
      </c>
      <c r="E178" s="2">
        <f t="shared" si="12"/>
        <v>0</v>
      </c>
      <c r="F178" s="2">
        <f t="shared" si="13"/>
        <v>0</v>
      </c>
      <c r="G178" s="2">
        <f t="shared" si="14"/>
        <v>0</v>
      </c>
      <c r="H178" s="2">
        <f t="shared" si="15"/>
        <v>0</v>
      </c>
      <c r="I178" s="2">
        <f t="shared" si="16"/>
        <v>0</v>
      </c>
      <c r="J178" s="2">
        <f t="shared" si="17"/>
        <v>1</v>
      </c>
      <c r="K178" s="2" t="s">
        <v>136</v>
      </c>
    </row>
    <row r="179" spans="1:11" ht="15" customHeight="1">
      <c r="A179" s="2">
        <v>178</v>
      </c>
      <c r="B179" s="2" t="s">
        <v>70</v>
      </c>
      <c r="C179" s="2" t="s">
        <v>31</v>
      </c>
      <c r="D179" s="2" t="s">
        <v>25</v>
      </c>
      <c r="E179" s="2">
        <f t="shared" si="12"/>
        <v>0</v>
      </c>
      <c r="F179" s="2">
        <f t="shared" si="13"/>
        <v>0</v>
      </c>
      <c r="G179" s="2">
        <f t="shared" si="14"/>
        <v>0</v>
      </c>
      <c r="H179" s="2">
        <f t="shared" si="15"/>
        <v>0</v>
      </c>
      <c r="I179" s="2">
        <f t="shared" si="16"/>
        <v>0</v>
      </c>
      <c r="J179" s="2">
        <f t="shared" si="17"/>
        <v>1</v>
      </c>
      <c r="K179" s="2" t="s">
        <v>136</v>
      </c>
    </row>
    <row r="180" spans="1:11" ht="15" customHeight="1">
      <c r="A180" s="2">
        <v>179</v>
      </c>
      <c r="B180" s="2" t="s">
        <v>70</v>
      </c>
      <c r="C180" s="2" t="s">
        <v>31</v>
      </c>
      <c r="D180" s="2" t="s">
        <v>25</v>
      </c>
      <c r="E180" s="2">
        <f t="shared" si="12"/>
        <v>0</v>
      </c>
      <c r="F180" s="2">
        <f t="shared" si="13"/>
        <v>0</v>
      </c>
      <c r="G180" s="2">
        <f t="shared" si="14"/>
        <v>0</v>
      </c>
      <c r="H180" s="2">
        <f t="shared" si="15"/>
        <v>0</v>
      </c>
      <c r="I180" s="2">
        <f t="shared" si="16"/>
        <v>0</v>
      </c>
      <c r="J180" s="2">
        <f t="shared" si="17"/>
        <v>1</v>
      </c>
      <c r="K180" s="2" t="s">
        <v>136</v>
      </c>
    </row>
    <row r="181" spans="1:11" ht="15" customHeight="1">
      <c r="A181" s="2">
        <v>180</v>
      </c>
      <c r="B181" s="2" t="s">
        <v>70</v>
      </c>
      <c r="C181" s="2" t="s">
        <v>31</v>
      </c>
      <c r="D181" s="2" t="s">
        <v>25</v>
      </c>
      <c r="E181" s="2">
        <f t="shared" si="12"/>
        <v>0</v>
      </c>
      <c r="F181" s="2">
        <f t="shared" si="13"/>
        <v>0</v>
      </c>
      <c r="G181" s="2">
        <f t="shared" si="14"/>
        <v>0</v>
      </c>
      <c r="H181" s="2">
        <f t="shared" si="15"/>
        <v>0</v>
      </c>
      <c r="I181" s="2">
        <f t="shared" si="16"/>
        <v>0</v>
      </c>
      <c r="J181" s="2">
        <f t="shared" si="17"/>
        <v>1</v>
      </c>
      <c r="K181" s="2" t="s">
        <v>136</v>
      </c>
    </row>
    <row r="182" spans="1:11" ht="15" customHeight="1">
      <c r="A182" s="2">
        <v>181</v>
      </c>
      <c r="B182" s="2" t="s">
        <v>71</v>
      </c>
      <c r="C182" s="2" t="s">
        <v>31</v>
      </c>
      <c r="D182" s="2" t="s">
        <v>17</v>
      </c>
      <c r="E182" s="2">
        <f t="shared" si="12"/>
        <v>0</v>
      </c>
      <c r="F182" s="2">
        <f t="shared" si="13"/>
        <v>0</v>
      </c>
      <c r="G182" s="2">
        <f t="shared" si="14"/>
        <v>1</v>
      </c>
      <c r="H182" s="2">
        <f t="shared" si="15"/>
        <v>0</v>
      </c>
      <c r="I182" s="2">
        <f t="shared" si="16"/>
        <v>0</v>
      </c>
      <c r="J182" s="2">
        <f t="shared" si="17"/>
        <v>1</v>
      </c>
      <c r="K182" s="2" t="s">
        <v>136</v>
      </c>
    </row>
    <row r="183" spans="1:11" ht="15" customHeight="1">
      <c r="A183" s="2">
        <v>182</v>
      </c>
      <c r="B183" s="2" t="s">
        <v>71</v>
      </c>
      <c r="C183" s="2" t="s">
        <v>31</v>
      </c>
      <c r="D183" s="2" t="s">
        <v>17</v>
      </c>
      <c r="E183" s="2">
        <f t="shared" si="12"/>
        <v>0</v>
      </c>
      <c r="F183" s="2">
        <f t="shared" si="13"/>
        <v>0</v>
      </c>
      <c r="G183" s="2">
        <f t="shared" si="14"/>
        <v>1</v>
      </c>
      <c r="H183" s="2">
        <f t="shared" si="15"/>
        <v>0</v>
      </c>
      <c r="I183" s="2">
        <f t="shared" si="16"/>
        <v>0</v>
      </c>
      <c r="J183" s="2">
        <f t="shared" si="17"/>
        <v>1</v>
      </c>
      <c r="K183" s="2" t="s">
        <v>136</v>
      </c>
    </row>
    <row r="184" spans="1:11" ht="15" customHeight="1">
      <c r="A184" s="2">
        <v>183</v>
      </c>
      <c r="B184" s="2" t="s">
        <v>71</v>
      </c>
      <c r="C184" s="2" t="s">
        <v>31</v>
      </c>
      <c r="D184" s="2" t="s">
        <v>17</v>
      </c>
      <c r="E184" s="2">
        <f t="shared" si="12"/>
        <v>0</v>
      </c>
      <c r="F184" s="2">
        <f t="shared" si="13"/>
        <v>0</v>
      </c>
      <c r="G184" s="2">
        <f t="shared" si="14"/>
        <v>1</v>
      </c>
      <c r="H184" s="2">
        <f t="shared" si="15"/>
        <v>0</v>
      </c>
      <c r="I184" s="2">
        <f t="shared" si="16"/>
        <v>0</v>
      </c>
      <c r="J184" s="2">
        <f t="shared" si="17"/>
        <v>1</v>
      </c>
      <c r="K184" s="2" t="s">
        <v>136</v>
      </c>
    </row>
    <row r="185" spans="1:11" ht="15" customHeight="1">
      <c r="A185" s="2">
        <v>184</v>
      </c>
      <c r="B185" s="2" t="s">
        <v>71</v>
      </c>
      <c r="C185" s="2" t="s">
        <v>31</v>
      </c>
      <c r="D185" s="2" t="s">
        <v>17</v>
      </c>
      <c r="E185" s="2">
        <f t="shared" si="12"/>
        <v>0</v>
      </c>
      <c r="F185" s="2">
        <f t="shared" si="13"/>
        <v>0</v>
      </c>
      <c r="G185" s="2">
        <f t="shared" si="14"/>
        <v>1</v>
      </c>
      <c r="H185" s="2">
        <f t="shared" si="15"/>
        <v>0</v>
      </c>
      <c r="I185" s="2">
        <f t="shared" si="16"/>
        <v>0</v>
      </c>
      <c r="J185" s="2">
        <f t="shared" si="17"/>
        <v>1</v>
      </c>
      <c r="K185" s="2" t="s">
        <v>136</v>
      </c>
    </row>
    <row r="186" spans="1:11" ht="15" customHeight="1">
      <c r="A186" s="2">
        <v>185</v>
      </c>
      <c r="B186" s="2" t="s">
        <v>72</v>
      </c>
      <c r="C186" s="2" t="s">
        <v>24</v>
      </c>
      <c r="D186" s="2" t="s">
        <v>22</v>
      </c>
      <c r="E186" s="2">
        <f t="shared" si="12"/>
        <v>1</v>
      </c>
      <c r="F186" s="2">
        <f t="shared" si="13"/>
        <v>0</v>
      </c>
      <c r="G186" s="2">
        <f t="shared" si="14"/>
        <v>0</v>
      </c>
      <c r="H186" s="2">
        <f t="shared" si="15"/>
        <v>1</v>
      </c>
      <c r="I186" s="2">
        <f t="shared" si="16"/>
        <v>0</v>
      </c>
      <c r="J186" s="2">
        <f t="shared" si="17"/>
        <v>0</v>
      </c>
      <c r="K186" s="2" t="s">
        <v>136</v>
      </c>
    </row>
    <row r="187" spans="1:11" ht="15" customHeight="1">
      <c r="A187" s="2">
        <v>186</v>
      </c>
      <c r="B187" s="2" t="s">
        <v>72</v>
      </c>
      <c r="C187" s="2" t="s">
        <v>24</v>
      </c>
      <c r="D187" s="2" t="s">
        <v>22</v>
      </c>
      <c r="E187" s="2">
        <f t="shared" si="12"/>
        <v>1</v>
      </c>
      <c r="F187" s="2">
        <f t="shared" si="13"/>
        <v>0</v>
      </c>
      <c r="G187" s="2">
        <f t="shared" si="14"/>
        <v>0</v>
      </c>
      <c r="H187" s="2">
        <f t="shared" si="15"/>
        <v>1</v>
      </c>
      <c r="I187" s="2">
        <f t="shared" si="16"/>
        <v>0</v>
      </c>
      <c r="J187" s="2">
        <f t="shared" si="17"/>
        <v>0</v>
      </c>
      <c r="K187" s="2" t="s">
        <v>136</v>
      </c>
    </row>
    <row r="188" spans="1:11" ht="15" customHeight="1">
      <c r="A188" s="2">
        <v>187</v>
      </c>
      <c r="B188" s="2" t="s">
        <v>72</v>
      </c>
      <c r="C188" s="2" t="s">
        <v>24</v>
      </c>
      <c r="D188" s="2" t="s">
        <v>22</v>
      </c>
      <c r="E188" s="2">
        <f t="shared" si="12"/>
        <v>1</v>
      </c>
      <c r="F188" s="2">
        <f t="shared" si="13"/>
        <v>0</v>
      </c>
      <c r="G188" s="2">
        <f t="shared" si="14"/>
        <v>0</v>
      </c>
      <c r="H188" s="2">
        <f t="shared" si="15"/>
        <v>1</v>
      </c>
      <c r="I188" s="2">
        <f t="shared" si="16"/>
        <v>0</v>
      </c>
      <c r="J188" s="2">
        <f t="shared" si="17"/>
        <v>0</v>
      </c>
      <c r="K188" s="2" t="s">
        <v>136</v>
      </c>
    </row>
    <row r="189" spans="1:11" ht="15" customHeight="1">
      <c r="A189" s="2">
        <v>188</v>
      </c>
      <c r="B189" s="2" t="s">
        <v>72</v>
      </c>
      <c r="C189" s="2" t="s">
        <v>24</v>
      </c>
      <c r="D189" s="2" t="s">
        <v>22</v>
      </c>
      <c r="E189" s="2">
        <f t="shared" si="12"/>
        <v>1</v>
      </c>
      <c r="F189" s="2">
        <f t="shared" si="13"/>
        <v>0</v>
      </c>
      <c r="G189" s="2">
        <f t="shared" si="14"/>
        <v>0</v>
      </c>
      <c r="H189" s="2">
        <f t="shared" si="15"/>
        <v>1</v>
      </c>
      <c r="I189" s="2">
        <f t="shared" si="16"/>
        <v>0</v>
      </c>
      <c r="J189" s="2">
        <f t="shared" si="17"/>
        <v>0</v>
      </c>
      <c r="K189" s="2" t="s">
        <v>136</v>
      </c>
    </row>
    <row r="190" spans="1:11" ht="15" customHeight="1">
      <c r="A190" s="2">
        <v>189</v>
      </c>
      <c r="B190" s="2" t="s">
        <v>73</v>
      </c>
      <c r="C190" s="2" t="s">
        <v>16</v>
      </c>
      <c r="D190" s="2" t="s">
        <v>22</v>
      </c>
      <c r="E190" s="2">
        <f t="shared" si="12"/>
        <v>1</v>
      </c>
      <c r="F190" s="2">
        <f t="shared" si="13"/>
        <v>0</v>
      </c>
      <c r="G190" s="2">
        <f t="shared" si="14"/>
        <v>0</v>
      </c>
      <c r="H190" s="2">
        <f t="shared" si="15"/>
        <v>0</v>
      </c>
      <c r="I190" s="2">
        <f t="shared" si="16"/>
        <v>0</v>
      </c>
      <c r="J190" s="2">
        <f t="shared" si="17"/>
        <v>0</v>
      </c>
      <c r="K190" s="2" t="s">
        <v>136</v>
      </c>
    </row>
    <row r="191" spans="1:11" ht="15" customHeight="1">
      <c r="A191" s="2">
        <v>190</v>
      </c>
      <c r="B191" s="2" t="s">
        <v>73</v>
      </c>
      <c r="C191" s="2" t="s">
        <v>16</v>
      </c>
      <c r="D191" s="2" t="s">
        <v>22</v>
      </c>
      <c r="E191" s="2">
        <f t="shared" si="12"/>
        <v>1</v>
      </c>
      <c r="F191" s="2">
        <f t="shared" si="13"/>
        <v>0</v>
      </c>
      <c r="G191" s="2">
        <f t="shared" si="14"/>
        <v>0</v>
      </c>
      <c r="H191" s="2">
        <f t="shared" si="15"/>
        <v>0</v>
      </c>
      <c r="I191" s="2">
        <f t="shared" si="16"/>
        <v>0</v>
      </c>
      <c r="J191" s="2">
        <f t="shared" si="17"/>
        <v>0</v>
      </c>
      <c r="K191" s="2" t="s">
        <v>136</v>
      </c>
    </row>
    <row r="192" spans="1:11" ht="15" customHeight="1">
      <c r="A192" s="2">
        <v>191</v>
      </c>
      <c r="B192" s="2" t="s">
        <v>73</v>
      </c>
      <c r="C192" s="2" t="s">
        <v>16</v>
      </c>
      <c r="D192" s="2" t="s">
        <v>22</v>
      </c>
      <c r="E192" s="2">
        <f t="shared" si="12"/>
        <v>1</v>
      </c>
      <c r="F192" s="2">
        <f t="shared" si="13"/>
        <v>0</v>
      </c>
      <c r="G192" s="2">
        <f t="shared" si="14"/>
        <v>0</v>
      </c>
      <c r="H192" s="2">
        <f t="shared" si="15"/>
        <v>0</v>
      </c>
      <c r="I192" s="2">
        <f t="shared" si="16"/>
        <v>0</v>
      </c>
      <c r="J192" s="2">
        <f t="shared" si="17"/>
        <v>0</v>
      </c>
      <c r="K192" s="2" t="s">
        <v>136</v>
      </c>
    </row>
    <row r="193" spans="1:11" ht="15" customHeight="1">
      <c r="A193" s="2">
        <v>192</v>
      </c>
      <c r="B193" s="2" t="s">
        <v>73</v>
      </c>
      <c r="C193" s="2" t="s">
        <v>16</v>
      </c>
      <c r="D193" s="2" t="s">
        <v>22</v>
      </c>
      <c r="E193" s="2">
        <f t="shared" si="12"/>
        <v>1</v>
      </c>
      <c r="F193" s="2">
        <f t="shared" si="13"/>
        <v>0</v>
      </c>
      <c r="G193" s="2">
        <f t="shared" si="14"/>
        <v>0</v>
      </c>
      <c r="H193" s="2">
        <f t="shared" si="15"/>
        <v>0</v>
      </c>
      <c r="I193" s="2">
        <f t="shared" si="16"/>
        <v>0</v>
      </c>
      <c r="J193" s="2">
        <f t="shared" si="17"/>
        <v>0</v>
      </c>
      <c r="K193" s="2" t="s">
        <v>136</v>
      </c>
    </row>
    <row r="194" spans="1:11" ht="15" customHeight="1">
      <c r="A194" s="2">
        <v>193</v>
      </c>
      <c r="B194" s="2" t="s">
        <v>74</v>
      </c>
      <c r="C194" s="2" t="s">
        <v>31</v>
      </c>
      <c r="D194" s="2" t="s">
        <v>17</v>
      </c>
      <c r="E194" s="2">
        <f t="shared" ref="E194:E257" si="18">IF(D194="High Street",1,0)</f>
        <v>0</v>
      </c>
      <c r="F194" s="2">
        <f t="shared" ref="F194:F257" si="19">IF(D194="Mall",1,0)</f>
        <v>0</v>
      </c>
      <c r="G194" s="2">
        <f t="shared" ref="G194:G257" si="20">IF(D194="Residential",1,0)</f>
        <v>1</v>
      </c>
      <c r="H194" s="2">
        <f t="shared" ref="H194:H257" si="21">IF(C194="North",1,0)</f>
        <v>0</v>
      </c>
      <c r="I194" s="2">
        <f t="shared" ref="I194:I257" si="22">IF(C194="South",1,0)</f>
        <v>0</v>
      </c>
      <c r="J194" s="2">
        <f t="shared" ref="J194:J257" si="23">IF(C194="West",1,0)</f>
        <v>1</v>
      </c>
      <c r="K194" s="2" t="s">
        <v>136</v>
      </c>
    </row>
    <row r="195" spans="1:11" ht="15" customHeight="1">
      <c r="A195" s="2">
        <v>194</v>
      </c>
      <c r="B195" s="2" t="s">
        <v>74</v>
      </c>
      <c r="C195" s="2" t="s">
        <v>31</v>
      </c>
      <c r="D195" s="2" t="s">
        <v>17</v>
      </c>
      <c r="E195" s="2">
        <f t="shared" si="18"/>
        <v>0</v>
      </c>
      <c r="F195" s="2">
        <f t="shared" si="19"/>
        <v>0</v>
      </c>
      <c r="G195" s="2">
        <f t="shared" si="20"/>
        <v>1</v>
      </c>
      <c r="H195" s="2">
        <f t="shared" si="21"/>
        <v>0</v>
      </c>
      <c r="I195" s="2">
        <f t="shared" si="22"/>
        <v>0</v>
      </c>
      <c r="J195" s="2">
        <f t="shared" si="23"/>
        <v>1</v>
      </c>
      <c r="K195" s="2" t="s">
        <v>136</v>
      </c>
    </row>
    <row r="196" spans="1:11" ht="15" customHeight="1">
      <c r="A196" s="2">
        <v>195</v>
      </c>
      <c r="B196" s="2" t="s">
        <v>74</v>
      </c>
      <c r="C196" s="2" t="s">
        <v>31</v>
      </c>
      <c r="D196" s="2" t="s">
        <v>17</v>
      </c>
      <c r="E196" s="2">
        <f t="shared" si="18"/>
        <v>0</v>
      </c>
      <c r="F196" s="2">
        <f t="shared" si="19"/>
        <v>0</v>
      </c>
      <c r="G196" s="2">
        <f t="shared" si="20"/>
        <v>1</v>
      </c>
      <c r="H196" s="2">
        <f t="shared" si="21"/>
        <v>0</v>
      </c>
      <c r="I196" s="2">
        <f t="shared" si="22"/>
        <v>0</v>
      </c>
      <c r="J196" s="2">
        <f t="shared" si="23"/>
        <v>1</v>
      </c>
      <c r="K196" s="2" t="s">
        <v>136</v>
      </c>
    </row>
    <row r="197" spans="1:11" ht="15" customHeight="1">
      <c r="A197" s="2">
        <v>196</v>
      </c>
      <c r="B197" s="2" t="s">
        <v>74</v>
      </c>
      <c r="C197" s="2" t="s">
        <v>31</v>
      </c>
      <c r="D197" s="2" t="s">
        <v>17</v>
      </c>
      <c r="E197" s="2">
        <f t="shared" si="18"/>
        <v>0</v>
      </c>
      <c r="F197" s="2">
        <f t="shared" si="19"/>
        <v>0</v>
      </c>
      <c r="G197" s="2">
        <f t="shared" si="20"/>
        <v>1</v>
      </c>
      <c r="H197" s="2">
        <f t="shared" si="21"/>
        <v>0</v>
      </c>
      <c r="I197" s="2">
        <f t="shared" si="22"/>
        <v>0</v>
      </c>
      <c r="J197" s="2">
        <f t="shared" si="23"/>
        <v>1</v>
      </c>
      <c r="K197" s="2" t="s">
        <v>136</v>
      </c>
    </row>
    <row r="198" spans="1:11" ht="15" customHeight="1">
      <c r="A198" s="2">
        <v>197</v>
      </c>
      <c r="B198" s="2" t="s">
        <v>75</v>
      </c>
      <c r="C198" s="2" t="s">
        <v>24</v>
      </c>
      <c r="D198" s="2" t="s">
        <v>17</v>
      </c>
      <c r="E198" s="2">
        <f t="shared" si="18"/>
        <v>0</v>
      </c>
      <c r="F198" s="2">
        <f t="shared" si="19"/>
        <v>0</v>
      </c>
      <c r="G198" s="2">
        <f t="shared" si="20"/>
        <v>1</v>
      </c>
      <c r="H198" s="2">
        <f t="shared" si="21"/>
        <v>1</v>
      </c>
      <c r="I198" s="2">
        <f t="shared" si="22"/>
        <v>0</v>
      </c>
      <c r="J198" s="2">
        <f t="shared" si="23"/>
        <v>0</v>
      </c>
      <c r="K198" s="2" t="s">
        <v>136</v>
      </c>
    </row>
    <row r="199" spans="1:11" ht="15" customHeight="1">
      <c r="A199" s="2">
        <v>198</v>
      </c>
      <c r="B199" s="2" t="s">
        <v>75</v>
      </c>
      <c r="C199" s="2" t="s">
        <v>24</v>
      </c>
      <c r="D199" s="2" t="s">
        <v>17</v>
      </c>
      <c r="E199" s="2">
        <f t="shared" si="18"/>
        <v>0</v>
      </c>
      <c r="F199" s="2">
        <f t="shared" si="19"/>
        <v>0</v>
      </c>
      <c r="G199" s="2">
        <f t="shared" si="20"/>
        <v>1</v>
      </c>
      <c r="H199" s="2">
        <f t="shared" si="21"/>
        <v>1</v>
      </c>
      <c r="I199" s="2">
        <f t="shared" si="22"/>
        <v>0</v>
      </c>
      <c r="J199" s="2">
        <f t="shared" si="23"/>
        <v>0</v>
      </c>
      <c r="K199" s="2" t="s">
        <v>136</v>
      </c>
    </row>
    <row r="200" spans="1:11" ht="15" customHeight="1">
      <c r="A200" s="2">
        <v>199</v>
      </c>
      <c r="B200" s="2" t="s">
        <v>75</v>
      </c>
      <c r="C200" s="2" t="s">
        <v>24</v>
      </c>
      <c r="D200" s="2" t="s">
        <v>17</v>
      </c>
      <c r="E200" s="2">
        <f t="shared" si="18"/>
        <v>0</v>
      </c>
      <c r="F200" s="2">
        <f t="shared" si="19"/>
        <v>0</v>
      </c>
      <c r="G200" s="2">
        <f t="shared" si="20"/>
        <v>1</v>
      </c>
      <c r="H200" s="2">
        <f t="shared" si="21"/>
        <v>1</v>
      </c>
      <c r="I200" s="2">
        <f t="shared" si="22"/>
        <v>0</v>
      </c>
      <c r="J200" s="2">
        <f t="shared" si="23"/>
        <v>0</v>
      </c>
      <c r="K200" s="2" t="s">
        <v>136</v>
      </c>
    </row>
    <row r="201" spans="1:11" ht="15" customHeight="1">
      <c r="A201" s="2">
        <v>200</v>
      </c>
      <c r="B201" s="2" t="s">
        <v>75</v>
      </c>
      <c r="C201" s="2" t="s">
        <v>24</v>
      </c>
      <c r="D201" s="2" t="s">
        <v>17</v>
      </c>
      <c r="E201" s="2">
        <f t="shared" si="18"/>
        <v>0</v>
      </c>
      <c r="F201" s="2">
        <f t="shared" si="19"/>
        <v>0</v>
      </c>
      <c r="G201" s="2">
        <f t="shared" si="20"/>
        <v>1</v>
      </c>
      <c r="H201" s="2">
        <f t="shared" si="21"/>
        <v>1</v>
      </c>
      <c r="I201" s="2">
        <f t="shared" si="22"/>
        <v>0</v>
      </c>
      <c r="J201" s="2">
        <f t="shared" si="23"/>
        <v>0</v>
      </c>
      <c r="K201" s="2" t="s">
        <v>136</v>
      </c>
    </row>
    <row r="202" spans="1:11" ht="15" customHeight="1">
      <c r="A202" s="2">
        <v>201</v>
      </c>
      <c r="B202" s="2" t="s">
        <v>76</v>
      </c>
      <c r="C202" s="2" t="s">
        <v>16</v>
      </c>
      <c r="D202" s="2" t="s">
        <v>25</v>
      </c>
      <c r="E202" s="2">
        <f t="shared" si="18"/>
        <v>0</v>
      </c>
      <c r="F202" s="2">
        <f t="shared" si="19"/>
        <v>0</v>
      </c>
      <c r="G202" s="2">
        <f t="shared" si="20"/>
        <v>0</v>
      </c>
      <c r="H202" s="2">
        <f t="shared" si="21"/>
        <v>0</v>
      </c>
      <c r="I202" s="2">
        <f t="shared" si="22"/>
        <v>0</v>
      </c>
      <c r="J202" s="2">
        <f t="shared" si="23"/>
        <v>0</v>
      </c>
      <c r="K202" s="2" t="s">
        <v>136</v>
      </c>
    </row>
    <row r="203" spans="1:11" ht="15" customHeight="1">
      <c r="A203" s="2">
        <v>202</v>
      </c>
      <c r="B203" s="2" t="s">
        <v>76</v>
      </c>
      <c r="C203" s="2" t="s">
        <v>16</v>
      </c>
      <c r="D203" s="2" t="s">
        <v>25</v>
      </c>
      <c r="E203" s="2">
        <f t="shared" si="18"/>
        <v>0</v>
      </c>
      <c r="F203" s="2">
        <f t="shared" si="19"/>
        <v>0</v>
      </c>
      <c r="G203" s="2">
        <f t="shared" si="20"/>
        <v>0</v>
      </c>
      <c r="H203" s="2">
        <f t="shared" si="21"/>
        <v>0</v>
      </c>
      <c r="I203" s="2">
        <f t="shared" si="22"/>
        <v>0</v>
      </c>
      <c r="J203" s="2">
        <f t="shared" si="23"/>
        <v>0</v>
      </c>
      <c r="K203" s="2" t="s">
        <v>136</v>
      </c>
    </row>
    <row r="204" spans="1:11" ht="15" customHeight="1">
      <c r="A204" s="2">
        <v>203</v>
      </c>
      <c r="B204" s="2" t="s">
        <v>76</v>
      </c>
      <c r="C204" s="2" t="s">
        <v>16</v>
      </c>
      <c r="D204" s="2" t="s">
        <v>25</v>
      </c>
      <c r="E204" s="2">
        <f t="shared" si="18"/>
        <v>0</v>
      </c>
      <c r="F204" s="2">
        <f t="shared" si="19"/>
        <v>0</v>
      </c>
      <c r="G204" s="2">
        <f t="shared" si="20"/>
        <v>0</v>
      </c>
      <c r="H204" s="2">
        <f t="shared" si="21"/>
        <v>0</v>
      </c>
      <c r="I204" s="2">
        <f t="shared" si="22"/>
        <v>0</v>
      </c>
      <c r="J204" s="2">
        <f t="shared" si="23"/>
        <v>0</v>
      </c>
      <c r="K204" s="2" t="s">
        <v>136</v>
      </c>
    </row>
    <row r="205" spans="1:11" ht="15" customHeight="1">
      <c r="A205" s="2">
        <v>204</v>
      </c>
      <c r="B205" s="2" t="s">
        <v>76</v>
      </c>
      <c r="C205" s="2" t="s">
        <v>16</v>
      </c>
      <c r="D205" s="2" t="s">
        <v>25</v>
      </c>
      <c r="E205" s="2">
        <f t="shared" si="18"/>
        <v>0</v>
      </c>
      <c r="F205" s="2">
        <f t="shared" si="19"/>
        <v>0</v>
      </c>
      <c r="G205" s="2">
        <f t="shared" si="20"/>
        <v>0</v>
      </c>
      <c r="H205" s="2">
        <f t="shared" si="21"/>
        <v>0</v>
      </c>
      <c r="I205" s="2">
        <f t="shared" si="22"/>
        <v>0</v>
      </c>
      <c r="J205" s="2">
        <f t="shared" si="23"/>
        <v>0</v>
      </c>
      <c r="K205" s="2" t="s">
        <v>136</v>
      </c>
    </row>
    <row r="206" spans="1:11" ht="15" customHeight="1">
      <c r="A206" s="2">
        <v>205</v>
      </c>
      <c r="B206" s="2" t="s">
        <v>77</v>
      </c>
      <c r="C206" s="2" t="s">
        <v>16</v>
      </c>
      <c r="D206" s="2" t="s">
        <v>32</v>
      </c>
      <c r="E206" s="2">
        <f t="shared" si="18"/>
        <v>0</v>
      </c>
      <c r="F206" s="2">
        <f t="shared" si="19"/>
        <v>1</v>
      </c>
      <c r="G206" s="2">
        <f t="shared" si="20"/>
        <v>0</v>
      </c>
      <c r="H206" s="2">
        <f t="shared" si="21"/>
        <v>0</v>
      </c>
      <c r="I206" s="2">
        <f t="shared" si="22"/>
        <v>0</v>
      </c>
      <c r="J206" s="2">
        <f t="shared" si="23"/>
        <v>0</v>
      </c>
      <c r="K206" s="2" t="s">
        <v>136</v>
      </c>
    </row>
    <row r="207" spans="1:11" ht="15" customHeight="1">
      <c r="A207" s="2">
        <v>206</v>
      </c>
      <c r="B207" s="2" t="s">
        <v>77</v>
      </c>
      <c r="C207" s="2" t="s">
        <v>16</v>
      </c>
      <c r="D207" s="2" t="s">
        <v>32</v>
      </c>
      <c r="E207" s="2">
        <f t="shared" si="18"/>
        <v>0</v>
      </c>
      <c r="F207" s="2">
        <f t="shared" si="19"/>
        <v>1</v>
      </c>
      <c r="G207" s="2">
        <f t="shared" si="20"/>
        <v>0</v>
      </c>
      <c r="H207" s="2">
        <f t="shared" si="21"/>
        <v>0</v>
      </c>
      <c r="I207" s="2">
        <f t="shared" si="22"/>
        <v>0</v>
      </c>
      <c r="J207" s="2">
        <f t="shared" si="23"/>
        <v>0</v>
      </c>
      <c r="K207" s="2" t="s">
        <v>136</v>
      </c>
    </row>
    <row r="208" spans="1:11" ht="15" customHeight="1">
      <c r="A208" s="2">
        <v>207</v>
      </c>
      <c r="B208" s="2" t="s">
        <v>77</v>
      </c>
      <c r="C208" s="2" t="s">
        <v>16</v>
      </c>
      <c r="D208" s="2" t="s">
        <v>32</v>
      </c>
      <c r="E208" s="2">
        <f t="shared" si="18"/>
        <v>0</v>
      </c>
      <c r="F208" s="2">
        <f t="shared" si="19"/>
        <v>1</v>
      </c>
      <c r="G208" s="2">
        <f t="shared" si="20"/>
        <v>0</v>
      </c>
      <c r="H208" s="2">
        <f t="shared" si="21"/>
        <v>0</v>
      </c>
      <c r="I208" s="2">
        <f t="shared" si="22"/>
        <v>0</v>
      </c>
      <c r="J208" s="2">
        <f t="shared" si="23"/>
        <v>0</v>
      </c>
      <c r="K208" s="2" t="s">
        <v>136</v>
      </c>
    </row>
    <row r="209" spans="1:11" ht="15" customHeight="1">
      <c r="A209" s="2">
        <v>208</v>
      </c>
      <c r="B209" s="2" t="s">
        <v>77</v>
      </c>
      <c r="C209" s="2" t="s">
        <v>16</v>
      </c>
      <c r="D209" s="2" t="s">
        <v>32</v>
      </c>
      <c r="E209" s="2">
        <f t="shared" si="18"/>
        <v>0</v>
      </c>
      <c r="F209" s="2">
        <f t="shared" si="19"/>
        <v>1</v>
      </c>
      <c r="G209" s="2">
        <f t="shared" si="20"/>
        <v>0</v>
      </c>
      <c r="H209" s="2">
        <f t="shared" si="21"/>
        <v>0</v>
      </c>
      <c r="I209" s="2">
        <f t="shared" si="22"/>
        <v>0</v>
      </c>
      <c r="J209" s="2">
        <f t="shared" si="23"/>
        <v>0</v>
      </c>
      <c r="K209" s="2" t="s">
        <v>136</v>
      </c>
    </row>
    <row r="210" spans="1:11" ht="15" customHeight="1">
      <c r="A210" s="2">
        <v>209</v>
      </c>
      <c r="B210" s="2" t="s">
        <v>78</v>
      </c>
      <c r="C210" s="2" t="s">
        <v>16</v>
      </c>
      <c r="D210" s="2" t="s">
        <v>22</v>
      </c>
      <c r="E210" s="2">
        <f t="shared" si="18"/>
        <v>1</v>
      </c>
      <c r="F210" s="2">
        <f t="shared" si="19"/>
        <v>0</v>
      </c>
      <c r="G210" s="2">
        <f t="shared" si="20"/>
        <v>0</v>
      </c>
      <c r="H210" s="2">
        <f t="shared" si="21"/>
        <v>0</v>
      </c>
      <c r="I210" s="2">
        <f t="shared" si="22"/>
        <v>0</v>
      </c>
      <c r="J210" s="2">
        <f t="shared" si="23"/>
        <v>0</v>
      </c>
      <c r="K210" s="2" t="s">
        <v>136</v>
      </c>
    </row>
    <row r="211" spans="1:11" ht="15" customHeight="1">
      <c r="A211" s="2">
        <v>210</v>
      </c>
      <c r="B211" s="2" t="s">
        <v>78</v>
      </c>
      <c r="C211" s="2" t="s">
        <v>16</v>
      </c>
      <c r="D211" s="2" t="s">
        <v>22</v>
      </c>
      <c r="E211" s="2">
        <f t="shared" si="18"/>
        <v>1</v>
      </c>
      <c r="F211" s="2">
        <f t="shared" si="19"/>
        <v>0</v>
      </c>
      <c r="G211" s="2">
        <f t="shared" si="20"/>
        <v>0</v>
      </c>
      <c r="H211" s="2">
        <f t="shared" si="21"/>
        <v>0</v>
      </c>
      <c r="I211" s="2">
        <f t="shared" si="22"/>
        <v>0</v>
      </c>
      <c r="J211" s="2">
        <f t="shared" si="23"/>
        <v>0</v>
      </c>
      <c r="K211" s="2" t="s">
        <v>136</v>
      </c>
    </row>
    <row r="212" spans="1:11" ht="15" customHeight="1">
      <c r="A212" s="2">
        <v>211</v>
      </c>
      <c r="B212" s="2" t="s">
        <v>78</v>
      </c>
      <c r="C212" s="2" t="s">
        <v>16</v>
      </c>
      <c r="D212" s="2" t="s">
        <v>22</v>
      </c>
      <c r="E212" s="2">
        <f t="shared" si="18"/>
        <v>1</v>
      </c>
      <c r="F212" s="2">
        <f t="shared" si="19"/>
        <v>0</v>
      </c>
      <c r="G212" s="2">
        <f t="shared" si="20"/>
        <v>0</v>
      </c>
      <c r="H212" s="2">
        <f t="shared" si="21"/>
        <v>0</v>
      </c>
      <c r="I212" s="2">
        <f t="shared" si="22"/>
        <v>0</v>
      </c>
      <c r="J212" s="2">
        <f t="shared" si="23"/>
        <v>0</v>
      </c>
      <c r="K212" s="2" t="s">
        <v>136</v>
      </c>
    </row>
    <row r="213" spans="1:11" ht="15" customHeight="1">
      <c r="A213" s="2">
        <v>212</v>
      </c>
      <c r="B213" s="2" t="s">
        <v>78</v>
      </c>
      <c r="C213" s="2" t="s">
        <v>16</v>
      </c>
      <c r="D213" s="2" t="s">
        <v>22</v>
      </c>
      <c r="E213" s="2">
        <f t="shared" si="18"/>
        <v>1</v>
      </c>
      <c r="F213" s="2">
        <f t="shared" si="19"/>
        <v>0</v>
      </c>
      <c r="G213" s="2">
        <f t="shared" si="20"/>
        <v>0</v>
      </c>
      <c r="H213" s="2">
        <f t="shared" si="21"/>
        <v>0</v>
      </c>
      <c r="I213" s="2">
        <f t="shared" si="22"/>
        <v>0</v>
      </c>
      <c r="J213" s="2">
        <f t="shared" si="23"/>
        <v>0</v>
      </c>
      <c r="K213" s="2" t="s">
        <v>136</v>
      </c>
    </row>
    <row r="214" spans="1:11" ht="15" customHeight="1">
      <c r="A214" s="2">
        <v>213</v>
      </c>
      <c r="B214" s="2" t="s">
        <v>79</v>
      </c>
      <c r="C214" s="2" t="s">
        <v>31</v>
      </c>
      <c r="D214" s="2" t="s">
        <v>17</v>
      </c>
      <c r="E214" s="2">
        <f t="shared" si="18"/>
        <v>0</v>
      </c>
      <c r="F214" s="2">
        <f t="shared" si="19"/>
        <v>0</v>
      </c>
      <c r="G214" s="2">
        <f t="shared" si="20"/>
        <v>1</v>
      </c>
      <c r="H214" s="2">
        <f t="shared" si="21"/>
        <v>0</v>
      </c>
      <c r="I214" s="2">
        <f t="shared" si="22"/>
        <v>0</v>
      </c>
      <c r="J214" s="2">
        <f t="shared" si="23"/>
        <v>1</v>
      </c>
      <c r="K214" s="2" t="s">
        <v>136</v>
      </c>
    </row>
    <row r="215" spans="1:11" ht="15" customHeight="1">
      <c r="A215" s="2">
        <v>214</v>
      </c>
      <c r="B215" s="2" t="s">
        <v>79</v>
      </c>
      <c r="C215" s="2" t="s">
        <v>31</v>
      </c>
      <c r="D215" s="2" t="s">
        <v>17</v>
      </c>
      <c r="E215" s="2">
        <f t="shared" si="18"/>
        <v>0</v>
      </c>
      <c r="F215" s="2">
        <f t="shared" si="19"/>
        <v>0</v>
      </c>
      <c r="G215" s="2">
        <f t="shared" si="20"/>
        <v>1</v>
      </c>
      <c r="H215" s="2">
        <f t="shared" si="21"/>
        <v>0</v>
      </c>
      <c r="I215" s="2">
        <f t="shared" si="22"/>
        <v>0</v>
      </c>
      <c r="J215" s="2">
        <f t="shared" si="23"/>
        <v>1</v>
      </c>
      <c r="K215" s="2" t="s">
        <v>136</v>
      </c>
    </row>
    <row r="216" spans="1:11" ht="15" customHeight="1">
      <c r="A216" s="2">
        <v>215</v>
      </c>
      <c r="B216" s="2" t="s">
        <v>79</v>
      </c>
      <c r="C216" s="2" t="s">
        <v>31</v>
      </c>
      <c r="D216" s="2" t="s">
        <v>17</v>
      </c>
      <c r="E216" s="2">
        <f t="shared" si="18"/>
        <v>0</v>
      </c>
      <c r="F216" s="2">
        <f t="shared" si="19"/>
        <v>0</v>
      </c>
      <c r="G216" s="2">
        <f t="shared" si="20"/>
        <v>1</v>
      </c>
      <c r="H216" s="2">
        <f t="shared" si="21"/>
        <v>0</v>
      </c>
      <c r="I216" s="2">
        <f t="shared" si="22"/>
        <v>0</v>
      </c>
      <c r="J216" s="2">
        <f t="shared" si="23"/>
        <v>1</v>
      </c>
      <c r="K216" s="2" t="s">
        <v>136</v>
      </c>
    </row>
    <row r="217" spans="1:11" ht="15" customHeight="1">
      <c r="A217" s="2">
        <v>216</v>
      </c>
      <c r="B217" s="2" t="s">
        <v>79</v>
      </c>
      <c r="C217" s="2" t="s">
        <v>31</v>
      </c>
      <c r="D217" s="2" t="s">
        <v>17</v>
      </c>
      <c r="E217" s="2">
        <f t="shared" si="18"/>
        <v>0</v>
      </c>
      <c r="F217" s="2">
        <f t="shared" si="19"/>
        <v>0</v>
      </c>
      <c r="G217" s="2">
        <f t="shared" si="20"/>
        <v>1</v>
      </c>
      <c r="H217" s="2">
        <f t="shared" si="21"/>
        <v>0</v>
      </c>
      <c r="I217" s="2">
        <f t="shared" si="22"/>
        <v>0</v>
      </c>
      <c r="J217" s="2">
        <f t="shared" si="23"/>
        <v>1</v>
      </c>
      <c r="K217" s="2" t="s">
        <v>136</v>
      </c>
    </row>
    <row r="218" spans="1:11" ht="15" customHeight="1">
      <c r="A218" s="2">
        <v>217</v>
      </c>
      <c r="B218" s="2" t="s">
        <v>80</v>
      </c>
      <c r="C218" s="2" t="s">
        <v>24</v>
      </c>
      <c r="D218" s="2" t="s">
        <v>25</v>
      </c>
      <c r="E218" s="2">
        <f t="shared" si="18"/>
        <v>0</v>
      </c>
      <c r="F218" s="2">
        <f t="shared" si="19"/>
        <v>0</v>
      </c>
      <c r="G218" s="2">
        <f t="shared" si="20"/>
        <v>0</v>
      </c>
      <c r="H218" s="2">
        <f t="shared" si="21"/>
        <v>1</v>
      </c>
      <c r="I218" s="2">
        <f t="shared" si="22"/>
        <v>0</v>
      </c>
      <c r="J218" s="2">
        <f t="shared" si="23"/>
        <v>0</v>
      </c>
      <c r="K218" s="2" t="s">
        <v>136</v>
      </c>
    </row>
    <row r="219" spans="1:11" ht="15" customHeight="1">
      <c r="A219" s="2">
        <v>218</v>
      </c>
      <c r="B219" s="2" t="s">
        <v>80</v>
      </c>
      <c r="C219" s="2" t="s">
        <v>24</v>
      </c>
      <c r="D219" s="2" t="s">
        <v>25</v>
      </c>
      <c r="E219" s="2">
        <f t="shared" si="18"/>
        <v>0</v>
      </c>
      <c r="F219" s="2">
        <f t="shared" si="19"/>
        <v>0</v>
      </c>
      <c r="G219" s="2">
        <f t="shared" si="20"/>
        <v>0</v>
      </c>
      <c r="H219" s="2">
        <f t="shared" si="21"/>
        <v>1</v>
      </c>
      <c r="I219" s="2">
        <f t="shared" si="22"/>
        <v>0</v>
      </c>
      <c r="J219" s="2">
        <f t="shared" si="23"/>
        <v>0</v>
      </c>
      <c r="K219" s="2" t="s">
        <v>136</v>
      </c>
    </row>
    <row r="220" spans="1:11" ht="15" customHeight="1">
      <c r="A220" s="2">
        <v>219</v>
      </c>
      <c r="B220" s="2" t="s">
        <v>80</v>
      </c>
      <c r="C220" s="2" t="s">
        <v>24</v>
      </c>
      <c r="D220" s="2" t="s">
        <v>25</v>
      </c>
      <c r="E220" s="2">
        <f t="shared" si="18"/>
        <v>0</v>
      </c>
      <c r="F220" s="2">
        <f t="shared" si="19"/>
        <v>0</v>
      </c>
      <c r="G220" s="2">
        <f t="shared" si="20"/>
        <v>0</v>
      </c>
      <c r="H220" s="2">
        <f t="shared" si="21"/>
        <v>1</v>
      </c>
      <c r="I220" s="2">
        <f t="shared" si="22"/>
        <v>0</v>
      </c>
      <c r="J220" s="2">
        <f t="shared" si="23"/>
        <v>0</v>
      </c>
      <c r="K220" s="2" t="s">
        <v>136</v>
      </c>
    </row>
    <row r="221" spans="1:11" ht="15" customHeight="1">
      <c r="A221" s="2">
        <v>220</v>
      </c>
      <c r="B221" s="2" t="s">
        <v>80</v>
      </c>
      <c r="C221" s="2" t="s">
        <v>24</v>
      </c>
      <c r="D221" s="2" t="s">
        <v>25</v>
      </c>
      <c r="E221" s="2">
        <f t="shared" si="18"/>
        <v>0</v>
      </c>
      <c r="F221" s="2">
        <f t="shared" si="19"/>
        <v>0</v>
      </c>
      <c r="G221" s="2">
        <f t="shared" si="20"/>
        <v>0</v>
      </c>
      <c r="H221" s="2">
        <f t="shared" si="21"/>
        <v>1</v>
      </c>
      <c r="I221" s="2">
        <f t="shared" si="22"/>
        <v>0</v>
      </c>
      <c r="J221" s="2">
        <f t="shared" si="23"/>
        <v>0</v>
      </c>
      <c r="K221" s="2" t="s">
        <v>136</v>
      </c>
    </row>
    <row r="222" spans="1:11" ht="15" customHeight="1">
      <c r="A222" s="2">
        <v>221</v>
      </c>
      <c r="B222" s="2" t="s">
        <v>81</v>
      </c>
      <c r="C222" s="2" t="s">
        <v>16</v>
      </c>
      <c r="D222" s="2" t="s">
        <v>22</v>
      </c>
      <c r="E222" s="2">
        <f t="shared" si="18"/>
        <v>1</v>
      </c>
      <c r="F222" s="2">
        <f t="shared" si="19"/>
        <v>0</v>
      </c>
      <c r="G222" s="2">
        <f t="shared" si="20"/>
        <v>0</v>
      </c>
      <c r="H222" s="2">
        <f t="shared" si="21"/>
        <v>0</v>
      </c>
      <c r="I222" s="2">
        <f t="shared" si="22"/>
        <v>0</v>
      </c>
      <c r="J222" s="2">
        <f t="shared" si="23"/>
        <v>0</v>
      </c>
      <c r="K222" s="2" t="s">
        <v>136</v>
      </c>
    </row>
    <row r="223" spans="1:11" ht="15" customHeight="1">
      <c r="A223" s="2">
        <v>222</v>
      </c>
      <c r="B223" s="2" t="s">
        <v>81</v>
      </c>
      <c r="C223" s="2" t="s">
        <v>16</v>
      </c>
      <c r="D223" s="2" t="s">
        <v>22</v>
      </c>
      <c r="E223" s="2">
        <f t="shared" si="18"/>
        <v>1</v>
      </c>
      <c r="F223" s="2">
        <f t="shared" si="19"/>
        <v>0</v>
      </c>
      <c r="G223" s="2">
        <f t="shared" si="20"/>
        <v>0</v>
      </c>
      <c r="H223" s="2">
        <f t="shared" si="21"/>
        <v>0</v>
      </c>
      <c r="I223" s="2">
        <f t="shared" si="22"/>
        <v>0</v>
      </c>
      <c r="J223" s="2">
        <f t="shared" si="23"/>
        <v>0</v>
      </c>
      <c r="K223" s="2" t="s">
        <v>136</v>
      </c>
    </row>
    <row r="224" spans="1:11" ht="15" customHeight="1">
      <c r="A224" s="2">
        <v>223</v>
      </c>
      <c r="B224" s="2" t="s">
        <v>81</v>
      </c>
      <c r="C224" s="2" t="s">
        <v>16</v>
      </c>
      <c r="D224" s="2" t="s">
        <v>22</v>
      </c>
      <c r="E224" s="2">
        <f t="shared" si="18"/>
        <v>1</v>
      </c>
      <c r="F224" s="2">
        <f t="shared" si="19"/>
        <v>0</v>
      </c>
      <c r="G224" s="2">
        <f t="shared" si="20"/>
        <v>0</v>
      </c>
      <c r="H224" s="2">
        <f t="shared" si="21"/>
        <v>0</v>
      </c>
      <c r="I224" s="2">
        <f t="shared" si="22"/>
        <v>0</v>
      </c>
      <c r="J224" s="2">
        <f t="shared" si="23"/>
        <v>0</v>
      </c>
      <c r="K224" s="2" t="s">
        <v>136</v>
      </c>
    </row>
    <row r="225" spans="1:11" ht="15" customHeight="1">
      <c r="A225" s="2">
        <v>224</v>
      </c>
      <c r="B225" s="2" t="s">
        <v>81</v>
      </c>
      <c r="C225" s="2" t="s">
        <v>16</v>
      </c>
      <c r="D225" s="2" t="s">
        <v>22</v>
      </c>
      <c r="E225" s="2">
        <f t="shared" si="18"/>
        <v>1</v>
      </c>
      <c r="F225" s="2">
        <f t="shared" si="19"/>
        <v>0</v>
      </c>
      <c r="G225" s="2">
        <f t="shared" si="20"/>
        <v>0</v>
      </c>
      <c r="H225" s="2">
        <f t="shared" si="21"/>
        <v>0</v>
      </c>
      <c r="I225" s="2">
        <f t="shared" si="22"/>
        <v>0</v>
      </c>
      <c r="J225" s="2">
        <f t="shared" si="23"/>
        <v>0</v>
      </c>
      <c r="K225" s="2" t="s">
        <v>136</v>
      </c>
    </row>
    <row r="226" spans="1:11" ht="15" customHeight="1">
      <c r="A226" s="2">
        <v>225</v>
      </c>
      <c r="B226" s="2" t="s">
        <v>82</v>
      </c>
      <c r="C226" s="2" t="s">
        <v>16</v>
      </c>
      <c r="D226" s="2" t="s">
        <v>32</v>
      </c>
      <c r="E226" s="2">
        <f t="shared" si="18"/>
        <v>0</v>
      </c>
      <c r="F226" s="2">
        <f t="shared" si="19"/>
        <v>1</v>
      </c>
      <c r="G226" s="2">
        <f t="shared" si="20"/>
        <v>0</v>
      </c>
      <c r="H226" s="2">
        <f t="shared" si="21"/>
        <v>0</v>
      </c>
      <c r="I226" s="2">
        <f t="shared" si="22"/>
        <v>0</v>
      </c>
      <c r="J226" s="2">
        <f t="shared" si="23"/>
        <v>0</v>
      </c>
      <c r="K226" s="2" t="s">
        <v>136</v>
      </c>
    </row>
    <row r="227" spans="1:11" ht="15" customHeight="1">
      <c r="A227" s="2">
        <v>226</v>
      </c>
      <c r="B227" s="2" t="s">
        <v>82</v>
      </c>
      <c r="C227" s="2" t="s">
        <v>16</v>
      </c>
      <c r="D227" s="2" t="s">
        <v>32</v>
      </c>
      <c r="E227" s="2">
        <f t="shared" si="18"/>
        <v>0</v>
      </c>
      <c r="F227" s="2">
        <f t="shared" si="19"/>
        <v>1</v>
      </c>
      <c r="G227" s="2">
        <f t="shared" si="20"/>
        <v>0</v>
      </c>
      <c r="H227" s="2">
        <f t="shared" si="21"/>
        <v>0</v>
      </c>
      <c r="I227" s="2">
        <f t="shared" si="22"/>
        <v>0</v>
      </c>
      <c r="J227" s="2">
        <f t="shared" si="23"/>
        <v>0</v>
      </c>
      <c r="K227" s="2" t="s">
        <v>136</v>
      </c>
    </row>
    <row r="228" spans="1:11" ht="15" customHeight="1">
      <c r="A228" s="2">
        <v>227</v>
      </c>
      <c r="B228" s="2" t="s">
        <v>82</v>
      </c>
      <c r="C228" s="2" t="s">
        <v>16</v>
      </c>
      <c r="D228" s="2" t="s">
        <v>32</v>
      </c>
      <c r="E228" s="2">
        <f t="shared" si="18"/>
        <v>0</v>
      </c>
      <c r="F228" s="2">
        <f t="shared" si="19"/>
        <v>1</v>
      </c>
      <c r="G228" s="2">
        <f t="shared" si="20"/>
        <v>0</v>
      </c>
      <c r="H228" s="2">
        <f t="shared" si="21"/>
        <v>0</v>
      </c>
      <c r="I228" s="2">
        <f t="shared" si="22"/>
        <v>0</v>
      </c>
      <c r="J228" s="2">
        <f t="shared" si="23"/>
        <v>0</v>
      </c>
      <c r="K228" s="2" t="s">
        <v>136</v>
      </c>
    </row>
    <row r="229" spans="1:11" ht="15" customHeight="1">
      <c r="A229" s="2">
        <v>228</v>
      </c>
      <c r="B229" s="2" t="s">
        <v>82</v>
      </c>
      <c r="C229" s="2" t="s">
        <v>16</v>
      </c>
      <c r="D229" s="2" t="s">
        <v>32</v>
      </c>
      <c r="E229" s="2">
        <f t="shared" si="18"/>
        <v>0</v>
      </c>
      <c r="F229" s="2">
        <f t="shared" si="19"/>
        <v>1</v>
      </c>
      <c r="G229" s="2">
        <f t="shared" si="20"/>
        <v>0</v>
      </c>
      <c r="H229" s="2">
        <f t="shared" si="21"/>
        <v>0</v>
      </c>
      <c r="I229" s="2">
        <f t="shared" si="22"/>
        <v>0</v>
      </c>
      <c r="J229" s="2">
        <f t="shared" si="23"/>
        <v>0</v>
      </c>
      <c r="K229" s="2" t="s">
        <v>136</v>
      </c>
    </row>
    <row r="230" spans="1:11" ht="15" customHeight="1">
      <c r="A230" s="2">
        <v>229</v>
      </c>
      <c r="B230" s="2" t="s">
        <v>83</v>
      </c>
      <c r="C230" s="2" t="s">
        <v>16</v>
      </c>
      <c r="D230" s="2" t="s">
        <v>22</v>
      </c>
      <c r="E230" s="2">
        <f t="shared" si="18"/>
        <v>1</v>
      </c>
      <c r="F230" s="2">
        <f t="shared" si="19"/>
        <v>0</v>
      </c>
      <c r="G230" s="2">
        <f t="shared" si="20"/>
        <v>0</v>
      </c>
      <c r="H230" s="2">
        <f t="shared" si="21"/>
        <v>0</v>
      </c>
      <c r="I230" s="2">
        <f t="shared" si="22"/>
        <v>0</v>
      </c>
      <c r="J230" s="2">
        <f t="shared" si="23"/>
        <v>0</v>
      </c>
      <c r="K230" s="2" t="s">
        <v>136</v>
      </c>
    </row>
    <row r="231" spans="1:11" ht="15" customHeight="1">
      <c r="A231" s="2">
        <v>230</v>
      </c>
      <c r="B231" s="2" t="s">
        <v>83</v>
      </c>
      <c r="C231" s="2" t="s">
        <v>16</v>
      </c>
      <c r="D231" s="2" t="s">
        <v>22</v>
      </c>
      <c r="E231" s="2">
        <f t="shared" si="18"/>
        <v>1</v>
      </c>
      <c r="F231" s="2">
        <f t="shared" si="19"/>
        <v>0</v>
      </c>
      <c r="G231" s="2">
        <f t="shared" si="20"/>
        <v>0</v>
      </c>
      <c r="H231" s="2">
        <f t="shared" si="21"/>
        <v>0</v>
      </c>
      <c r="I231" s="2">
        <f t="shared" si="22"/>
        <v>0</v>
      </c>
      <c r="J231" s="2">
        <f t="shared" si="23"/>
        <v>0</v>
      </c>
      <c r="K231" s="2" t="s">
        <v>136</v>
      </c>
    </row>
    <row r="232" spans="1:11" ht="15" customHeight="1">
      <c r="A232" s="2">
        <v>231</v>
      </c>
      <c r="B232" s="2" t="s">
        <v>83</v>
      </c>
      <c r="C232" s="2" t="s">
        <v>16</v>
      </c>
      <c r="D232" s="2" t="s">
        <v>22</v>
      </c>
      <c r="E232" s="2">
        <f t="shared" si="18"/>
        <v>1</v>
      </c>
      <c r="F232" s="2">
        <f t="shared" si="19"/>
        <v>0</v>
      </c>
      <c r="G232" s="2">
        <f t="shared" si="20"/>
        <v>0</v>
      </c>
      <c r="H232" s="2">
        <f t="shared" si="21"/>
        <v>0</v>
      </c>
      <c r="I232" s="2">
        <f t="shared" si="22"/>
        <v>0</v>
      </c>
      <c r="J232" s="2">
        <f t="shared" si="23"/>
        <v>0</v>
      </c>
      <c r="K232" s="2" t="s">
        <v>136</v>
      </c>
    </row>
    <row r="233" spans="1:11" ht="15" customHeight="1">
      <c r="A233" s="2">
        <v>232</v>
      </c>
      <c r="B233" s="2" t="s">
        <v>83</v>
      </c>
      <c r="C233" s="2" t="s">
        <v>16</v>
      </c>
      <c r="D233" s="2" t="s">
        <v>22</v>
      </c>
      <c r="E233" s="2">
        <f t="shared" si="18"/>
        <v>1</v>
      </c>
      <c r="F233" s="2">
        <f t="shared" si="19"/>
        <v>0</v>
      </c>
      <c r="G233" s="2">
        <f t="shared" si="20"/>
        <v>0</v>
      </c>
      <c r="H233" s="2">
        <f t="shared" si="21"/>
        <v>0</v>
      </c>
      <c r="I233" s="2">
        <f t="shared" si="22"/>
        <v>0</v>
      </c>
      <c r="J233" s="2">
        <f t="shared" si="23"/>
        <v>0</v>
      </c>
      <c r="K233" s="2" t="s">
        <v>136</v>
      </c>
    </row>
    <row r="234" spans="1:11" ht="15" customHeight="1">
      <c r="A234" s="2">
        <v>233</v>
      </c>
      <c r="B234" s="2" t="s">
        <v>84</v>
      </c>
      <c r="C234" s="2" t="s">
        <v>31</v>
      </c>
      <c r="D234" s="2" t="s">
        <v>17</v>
      </c>
      <c r="E234" s="2">
        <f t="shared" si="18"/>
        <v>0</v>
      </c>
      <c r="F234" s="2">
        <f t="shared" si="19"/>
        <v>0</v>
      </c>
      <c r="G234" s="2">
        <f t="shared" si="20"/>
        <v>1</v>
      </c>
      <c r="H234" s="2">
        <f t="shared" si="21"/>
        <v>0</v>
      </c>
      <c r="I234" s="2">
        <f t="shared" si="22"/>
        <v>0</v>
      </c>
      <c r="J234" s="2">
        <f t="shared" si="23"/>
        <v>1</v>
      </c>
      <c r="K234" s="2" t="s">
        <v>136</v>
      </c>
    </row>
    <row r="235" spans="1:11" ht="15" customHeight="1">
      <c r="A235" s="2">
        <v>234</v>
      </c>
      <c r="B235" s="2" t="s">
        <v>84</v>
      </c>
      <c r="C235" s="2" t="s">
        <v>31</v>
      </c>
      <c r="D235" s="2" t="s">
        <v>17</v>
      </c>
      <c r="E235" s="2">
        <f t="shared" si="18"/>
        <v>0</v>
      </c>
      <c r="F235" s="2">
        <f t="shared" si="19"/>
        <v>0</v>
      </c>
      <c r="G235" s="2">
        <f t="shared" si="20"/>
        <v>1</v>
      </c>
      <c r="H235" s="2">
        <f t="shared" si="21"/>
        <v>0</v>
      </c>
      <c r="I235" s="2">
        <f t="shared" si="22"/>
        <v>0</v>
      </c>
      <c r="J235" s="2">
        <f t="shared" si="23"/>
        <v>1</v>
      </c>
      <c r="K235" s="2" t="s">
        <v>136</v>
      </c>
    </row>
    <row r="236" spans="1:11" ht="15" customHeight="1">
      <c r="A236" s="2">
        <v>235</v>
      </c>
      <c r="B236" s="2" t="s">
        <v>84</v>
      </c>
      <c r="C236" s="2" t="s">
        <v>31</v>
      </c>
      <c r="D236" s="2" t="s">
        <v>17</v>
      </c>
      <c r="E236" s="2">
        <f t="shared" si="18"/>
        <v>0</v>
      </c>
      <c r="F236" s="2">
        <f t="shared" si="19"/>
        <v>0</v>
      </c>
      <c r="G236" s="2">
        <f t="shared" si="20"/>
        <v>1</v>
      </c>
      <c r="H236" s="2">
        <f t="shared" si="21"/>
        <v>0</v>
      </c>
      <c r="I236" s="2">
        <f t="shared" si="22"/>
        <v>0</v>
      </c>
      <c r="J236" s="2">
        <f t="shared" si="23"/>
        <v>1</v>
      </c>
      <c r="K236" s="2" t="s">
        <v>136</v>
      </c>
    </row>
    <row r="237" spans="1:11" ht="15" customHeight="1">
      <c r="A237" s="2">
        <v>236</v>
      </c>
      <c r="B237" s="2" t="s">
        <v>84</v>
      </c>
      <c r="C237" s="2" t="s">
        <v>31</v>
      </c>
      <c r="D237" s="2" t="s">
        <v>17</v>
      </c>
      <c r="E237" s="2">
        <f t="shared" si="18"/>
        <v>0</v>
      </c>
      <c r="F237" s="2">
        <f t="shared" si="19"/>
        <v>0</v>
      </c>
      <c r="G237" s="2">
        <f t="shared" si="20"/>
        <v>1</v>
      </c>
      <c r="H237" s="2">
        <f t="shared" si="21"/>
        <v>0</v>
      </c>
      <c r="I237" s="2">
        <f t="shared" si="22"/>
        <v>0</v>
      </c>
      <c r="J237" s="2">
        <f t="shared" si="23"/>
        <v>1</v>
      </c>
      <c r="K237" s="2" t="s">
        <v>136</v>
      </c>
    </row>
    <row r="238" spans="1:11" ht="15" customHeight="1">
      <c r="A238" s="2">
        <v>237</v>
      </c>
      <c r="B238" s="2" t="s">
        <v>85</v>
      </c>
      <c r="C238" s="2" t="s">
        <v>31</v>
      </c>
      <c r="D238" s="2" t="s">
        <v>32</v>
      </c>
      <c r="E238" s="2">
        <f t="shared" si="18"/>
        <v>0</v>
      </c>
      <c r="F238" s="2">
        <f t="shared" si="19"/>
        <v>1</v>
      </c>
      <c r="G238" s="2">
        <f t="shared" si="20"/>
        <v>0</v>
      </c>
      <c r="H238" s="2">
        <f t="shared" si="21"/>
        <v>0</v>
      </c>
      <c r="I238" s="2">
        <f t="shared" si="22"/>
        <v>0</v>
      </c>
      <c r="J238" s="2">
        <f t="shared" si="23"/>
        <v>1</v>
      </c>
      <c r="K238" s="2" t="s">
        <v>136</v>
      </c>
    </row>
    <row r="239" spans="1:11" ht="15" customHeight="1">
      <c r="A239" s="2">
        <v>238</v>
      </c>
      <c r="B239" s="2" t="s">
        <v>85</v>
      </c>
      <c r="C239" s="2" t="s">
        <v>31</v>
      </c>
      <c r="D239" s="2" t="s">
        <v>32</v>
      </c>
      <c r="E239" s="2">
        <f t="shared" si="18"/>
        <v>0</v>
      </c>
      <c r="F239" s="2">
        <f t="shared" si="19"/>
        <v>1</v>
      </c>
      <c r="G239" s="2">
        <f t="shared" si="20"/>
        <v>0</v>
      </c>
      <c r="H239" s="2">
        <f t="shared" si="21"/>
        <v>0</v>
      </c>
      <c r="I239" s="2">
        <f t="shared" si="22"/>
        <v>0</v>
      </c>
      <c r="J239" s="2">
        <f t="shared" si="23"/>
        <v>1</v>
      </c>
      <c r="K239" s="2" t="s">
        <v>136</v>
      </c>
    </row>
    <row r="240" spans="1:11" ht="15" customHeight="1">
      <c r="A240" s="2">
        <v>239</v>
      </c>
      <c r="B240" s="2" t="s">
        <v>85</v>
      </c>
      <c r="C240" s="2" t="s">
        <v>31</v>
      </c>
      <c r="D240" s="2" t="s">
        <v>32</v>
      </c>
      <c r="E240" s="2">
        <f t="shared" si="18"/>
        <v>0</v>
      </c>
      <c r="F240" s="2">
        <f t="shared" si="19"/>
        <v>1</v>
      </c>
      <c r="G240" s="2">
        <f t="shared" si="20"/>
        <v>0</v>
      </c>
      <c r="H240" s="2">
        <f t="shared" si="21"/>
        <v>0</v>
      </c>
      <c r="I240" s="2">
        <f t="shared" si="22"/>
        <v>0</v>
      </c>
      <c r="J240" s="2">
        <f t="shared" si="23"/>
        <v>1</v>
      </c>
      <c r="K240" s="2" t="s">
        <v>136</v>
      </c>
    </row>
    <row r="241" spans="1:11" ht="15" customHeight="1">
      <c r="A241" s="2">
        <v>240</v>
      </c>
      <c r="B241" s="2" t="s">
        <v>85</v>
      </c>
      <c r="C241" s="2" t="s">
        <v>31</v>
      </c>
      <c r="D241" s="2" t="s">
        <v>32</v>
      </c>
      <c r="E241" s="2">
        <f t="shared" si="18"/>
        <v>0</v>
      </c>
      <c r="F241" s="2">
        <f t="shared" si="19"/>
        <v>1</v>
      </c>
      <c r="G241" s="2">
        <f t="shared" si="20"/>
        <v>0</v>
      </c>
      <c r="H241" s="2">
        <f t="shared" si="21"/>
        <v>0</v>
      </c>
      <c r="I241" s="2">
        <f t="shared" si="22"/>
        <v>0</v>
      </c>
      <c r="J241" s="2">
        <f t="shared" si="23"/>
        <v>1</v>
      </c>
      <c r="K241" s="2" t="s">
        <v>136</v>
      </c>
    </row>
    <row r="242" spans="1:11" ht="15" customHeight="1">
      <c r="A242" s="2">
        <v>241</v>
      </c>
      <c r="B242" s="2" t="s">
        <v>86</v>
      </c>
      <c r="C242" s="2" t="s">
        <v>28</v>
      </c>
      <c r="D242" s="2" t="s">
        <v>25</v>
      </c>
      <c r="E242" s="2">
        <f t="shared" si="18"/>
        <v>0</v>
      </c>
      <c r="F242" s="2">
        <f t="shared" si="19"/>
        <v>0</v>
      </c>
      <c r="G242" s="2">
        <f t="shared" si="20"/>
        <v>0</v>
      </c>
      <c r="H242" s="2">
        <f t="shared" si="21"/>
        <v>0</v>
      </c>
      <c r="I242" s="2">
        <f t="shared" si="22"/>
        <v>1</v>
      </c>
      <c r="J242" s="2">
        <f t="shared" si="23"/>
        <v>0</v>
      </c>
      <c r="K242" s="2" t="s">
        <v>136</v>
      </c>
    </row>
    <row r="243" spans="1:11" ht="15" customHeight="1">
      <c r="A243" s="2">
        <v>242</v>
      </c>
      <c r="B243" s="2" t="s">
        <v>86</v>
      </c>
      <c r="C243" s="2" t="s">
        <v>28</v>
      </c>
      <c r="D243" s="2" t="s">
        <v>25</v>
      </c>
      <c r="E243" s="2">
        <f t="shared" si="18"/>
        <v>0</v>
      </c>
      <c r="F243" s="2">
        <f t="shared" si="19"/>
        <v>0</v>
      </c>
      <c r="G243" s="2">
        <f t="shared" si="20"/>
        <v>0</v>
      </c>
      <c r="H243" s="2">
        <f t="shared" si="21"/>
        <v>0</v>
      </c>
      <c r="I243" s="2">
        <f t="shared" si="22"/>
        <v>1</v>
      </c>
      <c r="J243" s="2">
        <f t="shared" si="23"/>
        <v>0</v>
      </c>
      <c r="K243" s="2" t="s">
        <v>136</v>
      </c>
    </row>
    <row r="244" spans="1:11" ht="15" customHeight="1">
      <c r="A244" s="2">
        <v>243</v>
      </c>
      <c r="B244" s="2" t="s">
        <v>86</v>
      </c>
      <c r="C244" s="2" t="s">
        <v>28</v>
      </c>
      <c r="D244" s="2" t="s">
        <v>25</v>
      </c>
      <c r="E244" s="2">
        <f t="shared" si="18"/>
        <v>0</v>
      </c>
      <c r="F244" s="2">
        <f t="shared" si="19"/>
        <v>0</v>
      </c>
      <c r="G244" s="2">
        <f t="shared" si="20"/>
        <v>0</v>
      </c>
      <c r="H244" s="2">
        <f t="shared" si="21"/>
        <v>0</v>
      </c>
      <c r="I244" s="2">
        <f t="shared" si="22"/>
        <v>1</v>
      </c>
      <c r="J244" s="2">
        <f t="shared" si="23"/>
        <v>0</v>
      </c>
      <c r="K244" s="2" t="s">
        <v>136</v>
      </c>
    </row>
    <row r="245" spans="1:11" ht="15" customHeight="1">
      <c r="A245" s="2">
        <v>244</v>
      </c>
      <c r="B245" s="2" t="s">
        <v>86</v>
      </c>
      <c r="C245" s="2" t="s">
        <v>28</v>
      </c>
      <c r="D245" s="2" t="s">
        <v>25</v>
      </c>
      <c r="E245" s="2">
        <f t="shared" si="18"/>
        <v>0</v>
      </c>
      <c r="F245" s="2">
        <f t="shared" si="19"/>
        <v>0</v>
      </c>
      <c r="G245" s="2">
        <f t="shared" si="20"/>
        <v>0</v>
      </c>
      <c r="H245" s="2">
        <f t="shared" si="21"/>
        <v>0</v>
      </c>
      <c r="I245" s="2">
        <f t="shared" si="22"/>
        <v>1</v>
      </c>
      <c r="J245" s="2">
        <f t="shared" si="23"/>
        <v>0</v>
      </c>
      <c r="K245" s="2" t="s">
        <v>136</v>
      </c>
    </row>
    <row r="246" spans="1:11" ht="15" customHeight="1">
      <c r="A246" s="2">
        <v>245</v>
      </c>
      <c r="B246" s="2" t="s">
        <v>87</v>
      </c>
      <c r="C246" s="2" t="s">
        <v>16</v>
      </c>
      <c r="D246" s="2" t="s">
        <v>22</v>
      </c>
      <c r="E246" s="2">
        <f t="shared" si="18"/>
        <v>1</v>
      </c>
      <c r="F246" s="2">
        <f t="shared" si="19"/>
        <v>0</v>
      </c>
      <c r="G246" s="2">
        <f t="shared" si="20"/>
        <v>0</v>
      </c>
      <c r="H246" s="2">
        <f t="shared" si="21"/>
        <v>0</v>
      </c>
      <c r="I246" s="2">
        <f t="shared" si="22"/>
        <v>0</v>
      </c>
      <c r="J246" s="2">
        <f t="shared" si="23"/>
        <v>0</v>
      </c>
      <c r="K246" s="2" t="s">
        <v>136</v>
      </c>
    </row>
    <row r="247" spans="1:11" ht="15" customHeight="1">
      <c r="A247" s="2">
        <v>246</v>
      </c>
      <c r="B247" s="2" t="s">
        <v>87</v>
      </c>
      <c r="C247" s="2" t="s">
        <v>16</v>
      </c>
      <c r="D247" s="2" t="s">
        <v>22</v>
      </c>
      <c r="E247" s="2">
        <f t="shared" si="18"/>
        <v>1</v>
      </c>
      <c r="F247" s="2">
        <f t="shared" si="19"/>
        <v>0</v>
      </c>
      <c r="G247" s="2">
        <f t="shared" si="20"/>
        <v>0</v>
      </c>
      <c r="H247" s="2">
        <f t="shared" si="21"/>
        <v>0</v>
      </c>
      <c r="I247" s="2">
        <f t="shared" si="22"/>
        <v>0</v>
      </c>
      <c r="J247" s="2">
        <f t="shared" si="23"/>
        <v>0</v>
      </c>
      <c r="K247" s="2" t="s">
        <v>136</v>
      </c>
    </row>
    <row r="248" spans="1:11" ht="15" customHeight="1">
      <c r="A248" s="2">
        <v>247</v>
      </c>
      <c r="B248" s="2" t="s">
        <v>87</v>
      </c>
      <c r="C248" s="2" t="s">
        <v>16</v>
      </c>
      <c r="D248" s="2" t="s">
        <v>22</v>
      </c>
      <c r="E248" s="2">
        <f t="shared" si="18"/>
        <v>1</v>
      </c>
      <c r="F248" s="2">
        <f t="shared" si="19"/>
        <v>0</v>
      </c>
      <c r="G248" s="2">
        <f t="shared" si="20"/>
        <v>0</v>
      </c>
      <c r="H248" s="2">
        <f t="shared" si="21"/>
        <v>0</v>
      </c>
      <c r="I248" s="2">
        <f t="shared" si="22"/>
        <v>0</v>
      </c>
      <c r="J248" s="2">
        <f t="shared" si="23"/>
        <v>0</v>
      </c>
      <c r="K248" s="2" t="s">
        <v>136</v>
      </c>
    </row>
    <row r="249" spans="1:11" ht="15" customHeight="1">
      <c r="A249" s="2">
        <v>248</v>
      </c>
      <c r="B249" s="2" t="s">
        <v>87</v>
      </c>
      <c r="C249" s="2" t="s">
        <v>16</v>
      </c>
      <c r="D249" s="2" t="s">
        <v>22</v>
      </c>
      <c r="E249" s="2">
        <f t="shared" si="18"/>
        <v>1</v>
      </c>
      <c r="F249" s="2">
        <f t="shared" si="19"/>
        <v>0</v>
      </c>
      <c r="G249" s="2">
        <f t="shared" si="20"/>
        <v>0</v>
      </c>
      <c r="H249" s="2">
        <f t="shared" si="21"/>
        <v>0</v>
      </c>
      <c r="I249" s="2">
        <f t="shared" si="22"/>
        <v>0</v>
      </c>
      <c r="J249" s="2">
        <f t="shared" si="23"/>
        <v>0</v>
      </c>
      <c r="K249" s="2" t="s">
        <v>136</v>
      </c>
    </row>
    <row r="250" spans="1:11" ht="15" customHeight="1">
      <c r="A250" s="2">
        <v>249</v>
      </c>
      <c r="B250" s="2" t="s">
        <v>88</v>
      </c>
      <c r="C250" s="2" t="s">
        <v>24</v>
      </c>
      <c r="D250" s="2" t="s">
        <v>22</v>
      </c>
      <c r="E250" s="2">
        <f t="shared" si="18"/>
        <v>1</v>
      </c>
      <c r="F250" s="2">
        <f t="shared" si="19"/>
        <v>0</v>
      </c>
      <c r="G250" s="2">
        <f t="shared" si="20"/>
        <v>0</v>
      </c>
      <c r="H250" s="2">
        <f t="shared" si="21"/>
        <v>1</v>
      </c>
      <c r="I250" s="2">
        <f t="shared" si="22"/>
        <v>0</v>
      </c>
      <c r="J250" s="2">
        <f t="shared" si="23"/>
        <v>0</v>
      </c>
      <c r="K250" s="2" t="s">
        <v>136</v>
      </c>
    </row>
    <row r="251" spans="1:11" ht="15" customHeight="1">
      <c r="A251" s="2">
        <v>250</v>
      </c>
      <c r="B251" s="2" t="s">
        <v>88</v>
      </c>
      <c r="C251" s="2" t="s">
        <v>24</v>
      </c>
      <c r="D251" s="2" t="s">
        <v>22</v>
      </c>
      <c r="E251" s="2">
        <f t="shared" si="18"/>
        <v>1</v>
      </c>
      <c r="F251" s="2">
        <f t="shared" si="19"/>
        <v>0</v>
      </c>
      <c r="G251" s="2">
        <f t="shared" si="20"/>
        <v>0</v>
      </c>
      <c r="H251" s="2">
        <f t="shared" si="21"/>
        <v>1</v>
      </c>
      <c r="I251" s="2">
        <f t="shared" si="22"/>
        <v>0</v>
      </c>
      <c r="J251" s="2">
        <f t="shared" si="23"/>
        <v>0</v>
      </c>
      <c r="K251" s="2" t="s">
        <v>136</v>
      </c>
    </row>
    <row r="252" spans="1:11" ht="15" customHeight="1">
      <c r="A252" s="2">
        <v>251</v>
      </c>
      <c r="B252" s="2" t="s">
        <v>88</v>
      </c>
      <c r="C252" s="2" t="s">
        <v>24</v>
      </c>
      <c r="D252" s="2" t="s">
        <v>22</v>
      </c>
      <c r="E252" s="2">
        <f t="shared" si="18"/>
        <v>1</v>
      </c>
      <c r="F252" s="2">
        <f t="shared" si="19"/>
        <v>0</v>
      </c>
      <c r="G252" s="2">
        <f t="shared" si="20"/>
        <v>0</v>
      </c>
      <c r="H252" s="2">
        <f t="shared" si="21"/>
        <v>1</v>
      </c>
      <c r="I252" s="2">
        <f t="shared" si="22"/>
        <v>0</v>
      </c>
      <c r="J252" s="2">
        <f t="shared" si="23"/>
        <v>0</v>
      </c>
      <c r="K252" s="2" t="s">
        <v>136</v>
      </c>
    </row>
    <row r="253" spans="1:11" ht="15" customHeight="1">
      <c r="A253" s="2">
        <v>252</v>
      </c>
      <c r="B253" s="2" t="s">
        <v>88</v>
      </c>
      <c r="C253" s="2" t="s">
        <v>24</v>
      </c>
      <c r="D253" s="2" t="s">
        <v>22</v>
      </c>
      <c r="E253" s="2">
        <f t="shared" si="18"/>
        <v>1</v>
      </c>
      <c r="F253" s="2">
        <f t="shared" si="19"/>
        <v>0</v>
      </c>
      <c r="G253" s="2">
        <f t="shared" si="20"/>
        <v>0</v>
      </c>
      <c r="H253" s="2">
        <f t="shared" si="21"/>
        <v>1</v>
      </c>
      <c r="I253" s="2">
        <f t="shared" si="22"/>
        <v>0</v>
      </c>
      <c r="J253" s="2">
        <f t="shared" si="23"/>
        <v>0</v>
      </c>
      <c r="K253" s="2" t="s">
        <v>136</v>
      </c>
    </row>
    <row r="254" spans="1:11" ht="15" customHeight="1">
      <c r="A254" s="2">
        <v>253</v>
      </c>
      <c r="B254" s="2" t="s">
        <v>89</v>
      </c>
      <c r="C254" s="2" t="s">
        <v>28</v>
      </c>
      <c r="D254" s="2" t="s">
        <v>25</v>
      </c>
      <c r="E254" s="2">
        <f t="shared" si="18"/>
        <v>0</v>
      </c>
      <c r="F254" s="2">
        <f t="shared" si="19"/>
        <v>0</v>
      </c>
      <c r="G254" s="2">
        <f t="shared" si="20"/>
        <v>0</v>
      </c>
      <c r="H254" s="2">
        <f t="shared" si="21"/>
        <v>0</v>
      </c>
      <c r="I254" s="2">
        <f t="shared" si="22"/>
        <v>1</v>
      </c>
      <c r="J254" s="2">
        <f t="shared" si="23"/>
        <v>0</v>
      </c>
      <c r="K254" s="2" t="s">
        <v>136</v>
      </c>
    </row>
    <row r="255" spans="1:11" ht="15" customHeight="1">
      <c r="A255" s="2">
        <v>254</v>
      </c>
      <c r="B255" s="2" t="s">
        <v>89</v>
      </c>
      <c r="C255" s="2" t="s">
        <v>28</v>
      </c>
      <c r="D255" s="2" t="s">
        <v>25</v>
      </c>
      <c r="E255" s="2">
        <f t="shared" si="18"/>
        <v>0</v>
      </c>
      <c r="F255" s="2">
        <f t="shared" si="19"/>
        <v>0</v>
      </c>
      <c r="G255" s="2">
        <f t="shared" si="20"/>
        <v>0</v>
      </c>
      <c r="H255" s="2">
        <f t="shared" si="21"/>
        <v>0</v>
      </c>
      <c r="I255" s="2">
        <f t="shared" si="22"/>
        <v>1</v>
      </c>
      <c r="J255" s="2">
        <f t="shared" si="23"/>
        <v>0</v>
      </c>
      <c r="K255" s="2" t="s">
        <v>136</v>
      </c>
    </row>
    <row r="256" spans="1:11" ht="15" customHeight="1">
      <c r="A256" s="2">
        <v>255</v>
      </c>
      <c r="B256" s="2" t="s">
        <v>89</v>
      </c>
      <c r="C256" s="2" t="s">
        <v>28</v>
      </c>
      <c r="D256" s="2" t="s">
        <v>25</v>
      </c>
      <c r="E256" s="2">
        <f t="shared" si="18"/>
        <v>0</v>
      </c>
      <c r="F256" s="2">
        <f t="shared" si="19"/>
        <v>0</v>
      </c>
      <c r="G256" s="2">
        <f t="shared" si="20"/>
        <v>0</v>
      </c>
      <c r="H256" s="2">
        <f t="shared" si="21"/>
        <v>0</v>
      </c>
      <c r="I256" s="2">
        <f t="shared" si="22"/>
        <v>1</v>
      </c>
      <c r="J256" s="2">
        <f t="shared" si="23"/>
        <v>0</v>
      </c>
      <c r="K256" s="2" t="s">
        <v>136</v>
      </c>
    </row>
    <row r="257" spans="1:11" ht="15" customHeight="1">
      <c r="A257" s="2">
        <v>256</v>
      </c>
      <c r="B257" s="2" t="s">
        <v>89</v>
      </c>
      <c r="C257" s="2" t="s">
        <v>28</v>
      </c>
      <c r="D257" s="2" t="s">
        <v>25</v>
      </c>
      <c r="E257" s="2">
        <f t="shared" si="18"/>
        <v>0</v>
      </c>
      <c r="F257" s="2">
        <f t="shared" si="19"/>
        <v>0</v>
      </c>
      <c r="G257" s="2">
        <f t="shared" si="20"/>
        <v>0</v>
      </c>
      <c r="H257" s="2">
        <f t="shared" si="21"/>
        <v>0</v>
      </c>
      <c r="I257" s="2">
        <f t="shared" si="22"/>
        <v>1</v>
      </c>
      <c r="J257" s="2">
        <f t="shared" si="23"/>
        <v>0</v>
      </c>
      <c r="K257" s="2" t="s">
        <v>136</v>
      </c>
    </row>
    <row r="258" spans="1:11" ht="15" customHeight="1">
      <c r="A258" s="2">
        <v>257</v>
      </c>
      <c r="B258" s="2" t="s">
        <v>90</v>
      </c>
      <c r="C258" s="2" t="s">
        <v>28</v>
      </c>
      <c r="D258" s="2" t="s">
        <v>32</v>
      </c>
      <c r="E258" s="2">
        <f t="shared" ref="E258:E321" si="24">IF(D258="High Street",1,0)</f>
        <v>0</v>
      </c>
      <c r="F258" s="2">
        <f t="shared" ref="F258:F321" si="25">IF(D258="Mall",1,0)</f>
        <v>1</v>
      </c>
      <c r="G258" s="2">
        <f t="shared" ref="G258:G321" si="26">IF(D258="Residential",1,0)</f>
        <v>0</v>
      </c>
      <c r="H258" s="2">
        <f t="shared" ref="H258:H321" si="27">IF(C258="North",1,0)</f>
        <v>0</v>
      </c>
      <c r="I258" s="2">
        <f t="shared" ref="I258:I321" si="28">IF(C258="South",1,0)</f>
        <v>1</v>
      </c>
      <c r="J258" s="2">
        <f t="shared" ref="J258:J321" si="29">IF(C258="West",1,0)</f>
        <v>0</v>
      </c>
      <c r="K258" s="2" t="s">
        <v>136</v>
      </c>
    </row>
    <row r="259" spans="1:11" ht="15" customHeight="1">
      <c r="A259" s="2">
        <v>258</v>
      </c>
      <c r="B259" s="2" t="s">
        <v>90</v>
      </c>
      <c r="C259" s="2" t="s">
        <v>28</v>
      </c>
      <c r="D259" s="2" t="s">
        <v>32</v>
      </c>
      <c r="E259" s="2">
        <f t="shared" si="24"/>
        <v>0</v>
      </c>
      <c r="F259" s="2">
        <f t="shared" si="25"/>
        <v>1</v>
      </c>
      <c r="G259" s="2">
        <f t="shared" si="26"/>
        <v>0</v>
      </c>
      <c r="H259" s="2">
        <f t="shared" si="27"/>
        <v>0</v>
      </c>
      <c r="I259" s="2">
        <f t="shared" si="28"/>
        <v>1</v>
      </c>
      <c r="J259" s="2">
        <f t="shared" si="29"/>
        <v>0</v>
      </c>
      <c r="K259" s="2" t="s">
        <v>136</v>
      </c>
    </row>
    <row r="260" spans="1:11" ht="15" customHeight="1">
      <c r="A260" s="2">
        <v>259</v>
      </c>
      <c r="B260" s="2" t="s">
        <v>90</v>
      </c>
      <c r="C260" s="2" t="s">
        <v>28</v>
      </c>
      <c r="D260" s="2" t="s">
        <v>32</v>
      </c>
      <c r="E260" s="2">
        <f t="shared" si="24"/>
        <v>0</v>
      </c>
      <c r="F260" s="2">
        <f t="shared" si="25"/>
        <v>1</v>
      </c>
      <c r="G260" s="2">
        <f t="shared" si="26"/>
        <v>0</v>
      </c>
      <c r="H260" s="2">
        <f t="shared" si="27"/>
        <v>0</v>
      </c>
      <c r="I260" s="2">
        <f t="shared" si="28"/>
        <v>1</v>
      </c>
      <c r="J260" s="2">
        <f t="shared" si="29"/>
        <v>0</v>
      </c>
      <c r="K260" s="2" t="s">
        <v>136</v>
      </c>
    </row>
    <row r="261" spans="1:11" ht="15" customHeight="1">
      <c r="A261" s="2">
        <v>260</v>
      </c>
      <c r="B261" s="2" t="s">
        <v>90</v>
      </c>
      <c r="C261" s="2" t="s">
        <v>28</v>
      </c>
      <c r="D261" s="2" t="s">
        <v>32</v>
      </c>
      <c r="E261" s="2">
        <f t="shared" si="24"/>
        <v>0</v>
      </c>
      <c r="F261" s="2">
        <f t="shared" si="25"/>
        <v>1</v>
      </c>
      <c r="G261" s="2">
        <f t="shared" si="26"/>
        <v>0</v>
      </c>
      <c r="H261" s="2">
        <f t="shared" si="27"/>
        <v>0</v>
      </c>
      <c r="I261" s="2">
        <f t="shared" si="28"/>
        <v>1</v>
      </c>
      <c r="J261" s="2">
        <f t="shared" si="29"/>
        <v>0</v>
      </c>
      <c r="K261" s="2" t="s">
        <v>136</v>
      </c>
    </row>
    <row r="262" spans="1:11" ht="15" customHeight="1">
      <c r="A262" s="2">
        <v>261</v>
      </c>
      <c r="B262" s="2" t="s">
        <v>91</v>
      </c>
      <c r="C262" s="2" t="s">
        <v>31</v>
      </c>
      <c r="D262" s="2" t="s">
        <v>22</v>
      </c>
      <c r="E262" s="2">
        <f t="shared" si="24"/>
        <v>1</v>
      </c>
      <c r="F262" s="2">
        <f t="shared" si="25"/>
        <v>0</v>
      </c>
      <c r="G262" s="2">
        <f t="shared" si="26"/>
        <v>0</v>
      </c>
      <c r="H262" s="2">
        <f t="shared" si="27"/>
        <v>0</v>
      </c>
      <c r="I262" s="2">
        <f t="shared" si="28"/>
        <v>0</v>
      </c>
      <c r="J262" s="2">
        <f t="shared" si="29"/>
        <v>1</v>
      </c>
      <c r="K262" s="2" t="s">
        <v>136</v>
      </c>
    </row>
    <row r="263" spans="1:11" ht="15" customHeight="1">
      <c r="A263" s="2">
        <v>262</v>
      </c>
      <c r="B263" s="2" t="s">
        <v>91</v>
      </c>
      <c r="C263" s="2" t="s">
        <v>31</v>
      </c>
      <c r="D263" s="2" t="s">
        <v>22</v>
      </c>
      <c r="E263" s="2">
        <f t="shared" si="24"/>
        <v>1</v>
      </c>
      <c r="F263" s="2">
        <f t="shared" si="25"/>
        <v>0</v>
      </c>
      <c r="G263" s="2">
        <f t="shared" si="26"/>
        <v>0</v>
      </c>
      <c r="H263" s="2">
        <f t="shared" si="27"/>
        <v>0</v>
      </c>
      <c r="I263" s="2">
        <f t="shared" si="28"/>
        <v>0</v>
      </c>
      <c r="J263" s="2">
        <f t="shared" si="29"/>
        <v>1</v>
      </c>
      <c r="K263" s="2" t="s">
        <v>136</v>
      </c>
    </row>
    <row r="264" spans="1:11" ht="15" customHeight="1">
      <c r="A264" s="2">
        <v>263</v>
      </c>
      <c r="B264" s="2" t="s">
        <v>91</v>
      </c>
      <c r="C264" s="2" t="s">
        <v>31</v>
      </c>
      <c r="D264" s="2" t="s">
        <v>22</v>
      </c>
      <c r="E264" s="2">
        <f t="shared" si="24"/>
        <v>1</v>
      </c>
      <c r="F264" s="2">
        <f t="shared" si="25"/>
        <v>0</v>
      </c>
      <c r="G264" s="2">
        <f t="shared" si="26"/>
        <v>0</v>
      </c>
      <c r="H264" s="2">
        <f t="shared" si="27"/>
        <v>0</v>
      </c>
      <c r="I264" s="2">
        <f t="shared" si="28"/>
        <v>0</v>
      </c>
      <c r="J264" s="2">
        <f t="shared" si="29"/>
        <v>1</v>
      </c>
      <c r="K264" s="2" t="s">
        <v>136</v>
      </c>
    </row>
    <row r="265" spans="1:11" ht="15" customHeight="1">
      <c r="A265" s="2">
        <v>264</v>
      </c>
      <c r="B265" s="2" t="s">
        <v>91</v>
      </c>
      <c r="C265" s="2" t="s">
        <v>31</v>
      </c>
      <c r="D265" s="2" t="s">
        <v>22</v>
      </c>
      <c r="E265" s="2">
        <f t="shared" si="24"/>
        <v>1</v>
      </c>
      <c r="F265" s="2">
        <f t="shared" si="25"/>
        <v>0</v>
      </c>
      <c r="G265" s="2">
        <f t="shared" si="26"/>
        <v>0</v>
      </c>
      <c r="H265" s="2">
        <f t="shared" si="27"/>
        <v>0</v>
      </c>
      <c r="I265" s="2">
        <f t="shared" si="28"/>
        <v>0</v>
      </c>
      <c r="J265" s="2">
        <f t="shared" si="29"/>
        <v>1</v>
      </c>
      <c r="K265" s="2" t="s">
        <v>136</v>
      </c>
    </row>
    <row r="266" spans="1:11" ht="15" customHeight="1">
      <c r="A266" s="2">
        <v>265</v>
      </c>
      <c r="B266" s="2" t="s">
        <v>92</v>
      </c>
      <c r="C266" s="2" t="s">
        <v>16</v>
      </c>
      <c r="D266" s="2" t="s">
        <v>22</v>
      </c>
      <c r="E266" s="2">
        <f t="shared" si="24"/>
        <v>1</v>
      </c>
      <c r="F266" s="2">
        <f t="shared" si="25"/>
        <v>0</v>
      </c>
      <c r="G266" s="2">
        <f t="shared" si="26"/>
        <v>0</v>
      </c>
      <c r="H266" s="2">
        <f t="shared" si="27"/>
        <v>0</v>
      </c>
      <c r="I266" s="2">
        <f t="shared" si="28"/>
        <v>0</v>
      </c>
      <c r="J266" s="2">
        <f t="shared" si="29"/>
        <v>0</v>
      </c>
      <c r="K266" s="2" t="s">
        <v>136</v>
      </c>
    </row>
    <row r="267" spans="1:11" ht="15" customHeight="1">
      <c r="A267" s="2">
        <v>266</v>
      </c>
      <c r="B267" s="2" t="s">
        <v>92</v>
      </c>
      <c r="C267" s="2" t="s">
        <v>16</v>
      </c>
      <c r="D267" s="2" t="s">
        <v>22</v>
      </c>
      <c r="E267" s="2">
        <f t="shared" si="24"/>
        <v>1</v>
      </c>
      <c r="F267" s="2">
        <f t="shared" si="25"/>
        <v>0</v>
      </c>
      <c r="G267" s="2">
        <f t="shared" si="26"/>
        <v>0</v>
      </c>
      <c r="H267" s="2">
        <f t="shared" si="27"/>
        <v>0</v>
      </c>
      <c r="I267" s="2">
        <f t="shared" si="28"/>
        <v>0</v>
      </c>
      <c r="J267" s="2">
        <f t="shared" si="29"/>
        <v>0</v>
      </c>
      <c r="K267" s="2" t="s">
        <v>136</v>
      </c>
    </row>
    <row r="268" spans="1:11" ht="15" customHeight="1">
      <c r="A268" s="2">
        <v>267</v>
      </c>
      <c r="B268" s="2" t="s">
        <v>92</v>
      </c>
      <c r="C268" s="2" t="s">
        <v>16</v>
      </c>
      <c r="D268" s="2" t="s">
        <v>22</v>
      </c>
      <c r="E268" s="2">
        <f t="shared" si="24"/>
        <v>1</v>
      </c>
      <c r="F268" s="2">
        <f t="shared" si="25"/>
        <v>0</v>
      </c>
      <c r="G268" s="2">
        <f t="shared" si="26"/>
        <v>0</v>
      </c>
      <c r="H268" s="2">
        <f t="shared" si="27"/>
        <v>0</v>
      </c>
      <c r="I268" s="2">
        <f t="shared" si="28"/>
        <v>0</v>
      </c>
      <c r="J268" s="2">
        <f t="shared" si="29"/>
        <v>0</v>
      </c>
      <c r="K268" s="2" t="s">
        <v>136</v>
      </c>
    </row>
    <row r="269" spans="1:11" ht="15" customHeight="1">
      <c r="A269" s="2">
        <v>268</v>
      </c>
      <c r="B269" s="2" t="s">
        <v>92</v>
      </c>
      <c r="C269" s="2" t="s">
        <v>16</v>
      </c>
      <c r="D269" s="2" t="s">
        <v>22</v>
      </c>
      <c r="E269" s="2">
        <f t="shared" si="24"/>
        <v>1</v>
      </c>
      <c r="F269" s="2">
        <f t="shared" si="25"/>
        <v>0</v>
      </c>
      <c r="G269" s="2">
        <f t="shared" si="26"/>
        <v>0</v>
      </c>
      <c r="H269" s="2">
        <f t="shared" si="27"/>
        <v>0</v>
      </c>
      <c r="I269" s="2">
        <f t="shared" si="28"/>
        <v>0</v>
      </c>
      <c r="J269" s="2">
        <f t="shared" si="29"/>
        <v>0</v>
      </c>
      <c r="K269" s="2" t="s">
        <v>136</v>
      </c>
    </row>
    <row r="270" spans="1:11" ht="15" customHeight="1">
      <c r="A270" s="2">
        <v>269</v>
      </c>
      <c r="B270" s="2" t="s">
        <v>93</v>
      </c>
      <c r="C270" s="2" t="s">
        <v>16</v>
      </c>
      <c r="D270" s="2" t="s">
        <v>32</v>
      </c>
      <c r="E270" s="2">
        <f t="shared" si="24"/>
        <v>0</v>
      </c>
      <c r="F270" s="2">
        <f t="shared" si="25"/>
        <v>1</v>
      </c>
      <c r="G270" s="2">
        <f t="shared" si="26"/>
        <v>0</v>
      </c>
      <c r="H270" s="2">
        <f t="shared" si="27"/>
        <v>0</v>
      </c>
      <c r="I270" s="2">
        <f t="shared" si="28"/>
        <v>0</v>
      </c>
      <c r="J270" s="2">
        <f t="shared" si="29"/>
        <v>0</v>
      </c>
      <c r="K270" s="2" t="s">
        <v>136</v>
      </c>
    </row>
    <row r="271" spans="1:11" ht="15" customHeight="1">
      <c r="A271" s="2">
        <v>270</v>
      </c>
      <c r="B271" s="2" t="s">
        <v>93</v>
      </c>
      <c r="C271" s="2" t="s">
        <v>16</v>
      </c>
      <c r="D271" s="2" t="s">
        <v>32</v>
      </c>
      <c r="E271" s="2">
        <f t="shared" si="24"/>
        <v>0</v>
      </c>
      <c r="F271" s="2">
        <f t="shared" si="25"/>
        <v>1</v>
      </c>
      <c r="G271" s="2">
        <f t="shared" si="26"/>
        <v>0</v>
      </c>
      <c r="H271" s="2">
        <f t="shared" si="27"/>
        <v>0</v>
      </c>
      <c r="I271" s="2">
        <f t="shared" si="28"/>
        <v>0</v>
      </c>
      <c r="J271" s="2">
        <f t="shared" si="29"/>
        <v>0</v>
      </c>
      <c r="K271" s="2" t="s">
        <v>136</v>
      </c>
    </row>
    <row r="272" spans="1:11" ht="15" customHeight="1">
      <c r="A272" s="2">
        <v>271</v>
      </c>
      <c r="B272" s="2" t="s">
        <v>93</v>
      </c>
      <c r="C272" s="2" t="s">
        <v>16</v>
      </c>
      <c r="D272" s="2" t="s">
        <v>32</v>
      </c>
      <c r="E272" s="2">
        <f t="shared" si="24"/>
        <v>0</v>
      </c>
      <c r="F272" s="2">
        <f t="shared" si="25"/>
        <v>1</v>
      </c>
      <c r="G272" s="2">
        <f t="shared" si="26"/>
        <v>0</v>
      </c>
      <c r="H272" s="2">
        <f t="shared" si="27"/>
        <v>0</v>
      </c>
      <c r="I272" s="2">
        <f t="shared" si="28"/>
        <v>0</v>
      </c>
      <c r="J272" s="2">
        <f t="shared" si="29"/>
        <v>0</v>
      </c>
      <c r="K272" s="2" t="s">
        <v>136</v>
      </c>
    </row>
    <row r="273" spans="1:11" ht="15" customHeight="1">
      <c r="A273" s="2">
        <v>272</v>
      </c>
      <c r="B273" s="2" t="s">
        <v>93</v>
      </c>
      <c r="C273" s="2" t="s">
        <v>16</v>
      </c>
      <c r="D273" s="2" t="s">
        <v>32</v>
      </c>
      <c r="E273" s="2">
        <f t="shared" si="24"/>
        <v>0</v>
      </c>
      <c r="F273" s="2">
        <f t="shared" si="25"/>
        <v>1</v>
      </c>
      <c r="G273" s="2">
        <f t="shared" si="26"/>
        <v>0</v>
      </c>
      <c r="H273" s="2">
        <f t="shared" si="27"/>
        <v>0</v>
      </c>
      <c r="I273" s="2">
        <f t="shared" si="28"/>
        <v>0</v>
      </c>
      <c r="J273" s="2">
        <f t="shared" si="29"/>
        <v>0</v>
      </c>
      <c r="K273" s="2" t="s">
        <v>136</v>
      </c>
    </row>
    <row r="274" spans="1:11" ht="15" customHeight="1">
      <c r="A274" s="2">
        <v>273</v>
      </c>
      <c r="B274" s="2" t="s">
        <v>94</v>
      </c>
      <c r="C274" s="2" t="s">
        <v>31</v>
      </c>
      <c r="D274" s="2" t="s">
        <v>22</v>
      </c>
      <c r="E274" s="2">
        <f t="shared" si="24"/>
        <v>1</v>
      </c>
      <c r="F274" s="2">
        <f t="shared" si="25"/>
        <v>0</v>
      </c>
      <c r="G274" s="2">
        <f t="shared" si="26"/>
        <v>0</v>
      </c>
      <c r="H274" s="2">
        <f t="shared" si="27"/>
        <v>0</v>
      </c>
      <c r="I274" s="2">
        <f t="shared" si="28"/>
        <v>0</v>
      </c>
      <c r="J274" s="2">
        <f t="shared" si="29"/>
        <v>1</v>
      </c>
      <c r="K274" s="2" t="s">
        <v>136</v>
      </c>
    </row>
    <row r="275" spans="1:11" ht="15" customHeight="1">
      <c r="A275" s="2">
        <v>274</v>
      </c>
      <c r="B275" s="2" t="s">
        <v>94</v>
      </c>
      <c r="C275" s="2" t="s">
        <v>31</v>
      </c>
      <c r="D275" s="2" t="s">
        <v>22</v>
      </c>
      <c r="E275" s="2">
        <f t="shared" si="24"/>
        <v>1</v>
      </c>
      <c r="F275" s="2">
        <f t="shared" si="25"/>
        <v>0</v>
      </c>
      <c r="G275" s="2">
        <f t="shared" si="26"/>
        <v>0</v>
      </c>
      <c r="H275" s="2">
        <f t="shared" si="27"/>
        <v>0</v>
      </c>
      <c r="I275" s="2">
        <f t="shared" si="28"/>
        <v>0</v>
      </c>
      <c r="J275" s="2">
        <f t="shared" si="29"/>
        <v>1</v>
      </c>
      <c r="K275" s="2" t="s">
        <v>136</v>
      </c>
    </row>
    <row r="276" spans="1:11" ht="15" customHeight="1">
      <c r="A276" s="2">
        <v>275</v>
      </c>
      <c r="B276" s="2" t="s">
        <v>94</v>
      </c>
      <c r="C276" s="2" t="s">
        <v>31</v>
      </c>
      <c r="D276" s="2" t="s">
        <v>22</v>
      </c>
      <c r="E276" s="2">
        <f t="shared" si="24"/>
        <v>1</v>
      </c>
      <c r="F276" s="2">
        <f t="shared" si="25"/>
        <v>0</v>
      </c>
      <c r="G276" s="2">
        <f t="shared" si="26"/>
        <v>0</v>
      </c>
      <c r="H276" s="2">
        <f t="shared" si="27"/>
        <v>0</v>
      </c>
      <c r="I276" s="2">
        <f t="shared" si="28"/>
        <v>0</v>
      </c>
      <c r="J276" s="2">
        <f t="shared" si="29"/>
        <v>1</v>
      </c>
      <c r="K276" s="2" t="s">
        <v>136</v>
      </c>
    </row>
    <row r="277" spans="1:11" ht="15" customHeight="1">
      <c r="A277" s="2">
        <v>276</v>
      </c>
      <c r="B277" s="2" t="s">
        <v>94</v>
      </c>
      <c r="C277" s="2" t="s">
        <v>31</v>
      </c>
      <c r="D277" s="2" t="s">
        <v>22</v>
      </c>
      <c r="E277" s="2">
        <f t="shared" si="24"/>
        <v>1</v>
      </c>
      <c r="F277" s="2">
        <f t="shared" si="25"/>
        <v>0</v>
      </c>
      <c r="G277" s="2">
        <f t="shared" si="26"/>
        <v>0</v>
      </c>
      <c r="H277" s="2">
        <f t="shared" si="27"/>
        <v>0</v>
      </c>
      <c r="I277" s="2">
        <f t="shared" si="28"/>
        <v>0</v>
      </c>
      <c r="J277" s="2">
        <f t="shared" si="29"/>
        <v>1</v>
      </c>
      <c r="K277" s="2" t="s">
        <v>136</v>
      </c>
    </row>
    <row r="278" spans="1:11" ht="15" customHeight="1">
      <c r="A278" s="2">
        <v>277</v>
      </c>
      <c r="B278" s="2" t="s">
        <v>95</v>
      </c>
      <c r="C278" s="2" t="s">
        <v>28</v>
      </c>
      <c r="D278" s="2" t="s">
        <v>17</v>
      </c>
      <c r="E278" s="2">
        <f t="shared" si="24"/>
        <v>0</v>
      </c>
      <c r="F278" s="2">
        <f t="shared" si="25"/>
        <v>0</v>
      </c>
      <c r="G278" s="2">
        <f t="shared" si="26"/>
        <v>1</v>
      </c>
      <c r="H278" s="2">
        <f t="shared" si="27"/>
        <v>0</v>
      </c>
      <c r="I278" s="2">
        <f t="shared" si="28"/>
        <v>1</v>
      </c>
      <c r="J278" s="2">
        <f t="shared" si="29"/>
        <v>0</v>
      </c>
      <c r="K278" s="2" t="s">
        <v>136</v>
      </c>
    </row>
    <row r="279" spans="1:11" ht="15" customHeight="1">
      <c r="A279" s="2">
        <v>278</v>
      </c>
      <c r="B279" s="2" t="s">
        <v>95</v>
      </c>
      <c r="C279" s="2" t="s">
        <v>28</v>
      </c>
      <c r="D279" s="2" t="s">
        <v>17</v>
      </c>
      <c r="E279" s="2">
        <f t="shared" si="24"/>
        <v>0</v>
      </c>
      <c r="F279" s="2">
        <f t="shared" si="25"/>
        <v>0</v>
      </c>
      <c r="G279" s="2">
        <f t="shared" si="26"/>
        <v>1</v>
      </c>
      <c r="H279" s="2">
        <f t="shared" si="27"/>
        <v>0</v>
      </c>
      <c r="I279" s="2">
        <f t="shared" si="28"/>
        <v>1</v>
      </c>
      <c r="J279" s="2">
        <f t="shared" si="29"/>
        <v>0</v>
      </c>
      <c r="K279" s="2" t="s">
        <v>136</v>
      </c>
    </row>
    <row r="280" spans="1:11" ht="15" customHeight="1">
      <c r="A280" s="2">
        <v>279</v>
      </c>
      <c r="B280" s="2" t="s">
        <v>95</v>
      </c>
      <c r="C280" s="2" t="s">
        <v>28</v>
      </c>
      <c r="D280" s="2" t="s">
        <v>17</v>
      </c>
      <c r="E280" s="2">
        <f t="shared" si="24"/>
        <v>0</v>
      </c>
      <c r="F280" s="2">
        <f t="shared" si="25"/>
        <v>0</v>
      </c>
      <c r="G280" s="2">
        <f t="shared" si="26"/>
        <v>1</v>
      </c>
      <c r="H280" s="2">
        <f t="shared" si="27"/>
        <v>0</v>
      </c>
      <c r="I280" s="2">
        <f t="shared" si="28"/>
        <v>1</v>
      </c>
      <c r="J280" s="2">
        <f t="shared" si="29"/>
        <v>0</v>
      </c>
      <c r="K280" s="2" t="s">
        <v>136</v>
      </c>
    </row>
    <row r="281" spans="1:11" ht="15" customHeight="1">
      <c r="A281" s="2">
        <v>280</v>
      </c>
      <c r="B281" s="2" t="s">
        <v>95</v>
      </c>
      <c r="C281" s="2" t="s">
        <v>28</v>
      </c>
      <c r="D281" s="2" t="s">
        <v>17</v>
      </c>
      <c r="E281" s="2">
        <f t="shared" si="24"/>
        <v>0</v>
      </c>
      <c r="F281" s="2">
        <f t="shared" si="25"/>
        <v>0</v>
      </c>
      <c r="G281" s="2">
        <f t="shared" si="26"/>
        <v>1</v>
      </c>
      <c r="H281" s="2">
        <f t="shared" si="27"/>
        <v>0</v>
      </c>
      <c r="I281" s="2">
        <f t="shared" si="28"/>
        <v>1</v>
      </c>
      <c r="J281" s="2">
        <f t="shared" si="29"/>
        <v>0</v>
      </c>
      <c r="K281" s="2" t="s">
        <v>136</v>
      </c>
    </row>
    <row r="282" spans="1:11" ht="15" customHeight="1">
      <c r="A282" s="2">
        <v>281</v>
      </c>
      <c r="B282" s="2" t="s">
        <v>96</v>
      </c>
      <c r="C282" s="2" t="s">
        <v>28</v>
      </c>
      <c r="D282" s="2" t="s">
        <v>22</v>
      </c>
      <c r="E282" s="2">
        <f t="shared" si="24"/>
        <v>1</v>
      </c>
      <c r="F282" s="2">
        <f t="shared" si="25"/>
        <v>0</v>
      </c>
      <c r="G282" s="2">
        <f t="shared" si="26"/>
        <v>0</v>
      </c>
      <c r="H282" s="2">
        <f t="shared" si="27"/>
        <v>0</v>
      </c>
      <c r="I282" s="2">
        <f t="shared" si="28"/>
        <v>1</v>
      </c>
      <c r="J282" s="2">
        <f t="shared" si="29"/>
        <v>0</v>
      </c>
      <c r="K282" s="2" t="s">
        <v>136</v>
      </c>
    </row>
    <row r="283" spans="1:11" ht="15" customHeight="1">
      <c r="A283" s="2">
        <v>282</v>
      </c>
      <c r="B283" s="2" t="s">
        <v>96</v>
      </c>
      <c r="C283" s="2" t="s">
        <v>28</v>
      </c>
      <c r="D283" s="2" t="s">
        <v>22</v>
      </c>
      <c r="E283" s="2">
        <f t="shared" si="24"/>
        <v>1</v>
      </c>
      <c r="F283" s="2">
        <f t="shared" si="25"/>
        <v>0</v>
      </c>
      <c r="G283" s="2">
        <f t="shared" si="26"/>
        <v>0</v>
      </c>
      <c r="H283" s="2">
        <f t="shared" si="27"/>
        <v>0</v>
      </c>
      <c r="I283" s="2">
        <f t="shared" si="28"/>
        <v>1</v>
      </c>
      <c r="J283" s="2">
        <f t="shared" si="29"/>
        <v>0</v>
      </c>
      <c r="K283" s="2" t="s">
        <v>136</v>
      </c>
    </row>
    <row r="284" spans="1:11" ht="15" customHeight="1">
      <c r="A284" s="2">
        <v>283</v>
      </c>
      <c r="B284" s="2" t="s">
        <v>96</v>
      </c>
      <c r="C284" s="2" t="s">
        <v>28</v>
      </c>
      <c r="D284" s="2" t="s">
        <v>22</v>
      </c>
      <c r="E284" s="2">
        <f t="shared" si="24"/>
        <v>1</v>
      </c>
      <c r="F284" s="2">
        <f t="shared" si="25"/>
        <v>0</v>
      </c>
      <c r="G284" s="2">
        <f t="shared" si="26"/>
        <v>0</v>
      </c>
      <c r="H284" s="2">
        <f t="shared" si="27"/>
        <v>0</v>
      </c>
      <c r="I284" s="2">
        <f t="shared" si="28"/>
        <v>1</v>
      </c>
      <c r="J284" s="2">
        <f t="shared" si="29"/>
        <v>0</v>
      </c>
      <c r="K284" s="2" t="s">
        <v>136</v>
      </c>
    </row>
    <row r="285" spans="1:11" ht="15" customHeight="1">
      <c r="A285" s="2">
        <v>284</v>
      </c>
      <c r="B285" s="2" t="s">
        <v>96</v>
      </c>
      <c r="C285" s="2" t="s">
        <v>28</v>
      </c>
      <c r="D285" s="2" t="s">
        <v>22</v>
      </c>
      <c r="E285" s="2">
        <f t="shared" si="24"/>
        <v>1</v>
      </c>
      <c r="F285" s="2">
        <f t="shared" si="25"/>
        <v>0</v>
      </c>
      <c r="G285" s="2">
        <f t="shared" si="26"/>
        <v>0</v>
      </c>
      <c r="H285" s="2">
        <f t="shared" si="27"/>
        <v>0</v>
      </c>
      <c r="I285" s="2">
        <f t="shared" si="28"/>
        <v>1</v>
      </c>
      <c r="J285" s="2">
        <f t="shared" si="29"/>
        <v>0</v>
      </c>
      <c r="K285" s="2" t="s">
        <v>136</v>
      </c>
    </row>
    <row r="286" spans="1:11" ht="15" customHeight="1">
      <c r="A286" s="2">
        <v>285</v>
      </c>
      <c r="B286" s="2" t="s">
        <v>97</v>
      </c>
      <c r="C286" s="2" t="s">
        <v>31</v>
      </c>
      <c r="D286" s="2" t="s">
        <v>17</v>
      </c>
      <c r="E286" s="2">
        <f t="shared" si="24"/>
        <v>0</v>
      </c>
      <c r="F286" s="2">
        <f t="shared" si="25"/>
        <v>0</v>
      </c>
      <c r="G286" s="2">
        <f t="shared" si="26"/>
        <v>1</v>
      </c>
      <c r="H286" s="2">
        <f t="shared" si="27"/>
        <v>0</v>
      </c>
      <c r="I286" s="2">
        <f t="shared" si="28"/>
        <v>0</v>
      </c>
      <c r="J286" s="2">
        <f t="shared" si="29"/>
        <v>1</v>
      </c>
      <c r="K286" s="2" t="s">
        <v>136</v>
      </c>
    </row>
    <row r="287" spans="1:11" ht="15" customHeight="1">
      <c r="A287" s="2">
        <v>286</v>
      </c>
      <c r="B287" s="2" t="s">
        <v>97</v>
      </c>
      <c r="C287" s="2" t="s">
        <v>31</v>
      </c>
      <c r="D287" s="2" t="s">
        <v>17</v>
      </c>
      <c r="E287" s="2">
        <f t="shared" si="24"/>
        <v>0</v>
      </c>
      <c r="F287" s="2">
        <f t="shared" si="25"/>
        <v>0</v>
      </c>
      <c r="G287" s="2">
        <f t="shared" si="26"/>
        <v>1</v>
      </c>
      <c r="H287" s="2">
        <f t="shared" si="27"/>
        <v>0</v>
      </c>
      <c r="I287" s="2">
        <f t="shared" si="28"/>
        <v>0</v>
      </c>
      <c r="J287" s="2">
        <f t="shared" si="29"/>
        <v>1</v>
      </c>
      <c r="K287" s="2" t="s">
        <v>136</v>
      </c>
    </row>
    <row r="288" spans="1:11" ht="15" customHeight="1">
      <c r="A288" s="2">
        <v>287</v>
      </c>
      <c r="B288" s="2" t="s">
        <v>97</v>
      </c>
      <c r="C288" s="2" t="s">
        <v>31</v>
      </c>
      <c r="D288" s="2" t="s">
        <v>17</v>
      </c>
      <c r="E288" s="2">
        <f t="shared" si="24"/>
        <v>0</v>
      </c>
      <c r="F288" s="2">
        <f t="shared" si="25"/>
        <v>0</v>
      </c>
      <c r="G288" s="2">
        <f t="shared" si="26"/>
        <v>1</v>
      </c>
      <c r="H288" s="2">
        <f t="shared" si="27"/>
        <v>0</v>
      </c>
      <c r="I288" s="2">
        <f t="shared" si="28"/>
        <v>0</v>
      </c>
      <c r="J288" s="2">
        <f t="shared" si="29"/>
        <v>1</v>
      </c>
      <c r="K288" s="2" t="s">
        <v>136</v>
      </c>
    </row>
    <row r="289" spans="1:11" ht="15" customHeight="1">
      <c r="A289" s="2">
        <v>288</v>
      </c>
      <c r="B289" s="2" t="s">
        <v>97</v>
      </c>
      <c r="C289" s="2" t="s">
        <v>31</v>
      </c>
      <c r="D289" s="2" t="s">
        <v>17</v>
      </c>
      <c r="E289" s="2">
        <f t="shared" si="24"/>
        <v>0</v>
      </c>
      <c r="F289" s="2">
        <f t="shared" si="25"/>
        <v>0</v>
      </c>
      <c r="G289" s="2">
        <f t="shared" si="26"/>
        <v>1</v>
      </c>
      <c r="H289" s="2">
        <f t="shared" si="27"/>
        <v>0</v>
      </c>
      <c r="I289" s="2">
        <f t="shared" si="28"/>
        <v>0</v>
      </c>
      <c r="J289" s="2">
        <f t="shared" si="29"/>
        <v>1</v>
      </c>
      <c r="K289" s="2" t="s">
        <v>136</v>
      </c>
    </row>
    <row r="290" spans="1:11" ht="15" customHeight="1">
      <c r="A290" s="2">
        <v>289</v>
      </c>
      <c r="B290" s="2" t="s">
        <v>98</v>
      </c>
      <c r="C290" s="2" t="s">
        <v>16</v>
      </c>
      <c r="D290" s="2" t="s">
        <v>17</v>
      </c>
      <c r="E290" s="2">
        <f t="shared" si="24"/>
        <v>0</v>
      </c>
      <c r="F290" s="2">
        <f t="shared" si="25"/>
        <v>0</v>
      </c>
      <c r="G290" s="2">
        <f t="shared" si="26"/>
        <v>1</v>
      </c>
      <c r="H290" s="2">
        <f t="shared" si="27"/>
        <v>0</v>
      </c>
      <c r="I290" s="2">
        <f t="shared" si="28"/>
        <v>0</v>
      </c>
      <c r="J290" s="2">
        <f t="shared" si="29"/>
        <v>0</v>
      </c>
      <c r="K290" s="2" t="s">
        <v>136</v>
      </c>
    </row>
    <row r="291" spans="1:11" ht="15" customHeight="1">
      <c r="A291" s="2">
        <v>290</v>
      </c>
      <c r="B291" s="2" t="s">
        <v>98</v>
      </c>
      <c r="C291" s="2" t="s">
        <v>16</v>
      </c>
      <c r="D291" s="2" t="s">
        <v>17</v>
      </c>
      <c r="E291" s="2">
        <f t="shared" si="24"/>
        <v>0</v>
      </c>
      <c r="F291" s="2">
        <f t="shared" si="25"/>
        <v>0</v>
      </c>
      <c r="G291" s="2">
        <f t="shared" si="26"/>
        <v>1</v>
      </c>
      <c r="H291" s="2">
        <f t="shared" si="27"/>
        <v>0</v>
      </c>
      <c r="I291" s="2">
        <f t="shared" si="28"/>
        <v>0</v>
      </c>
      <c r="J291" s="2">
        <f t="shared" si="29"/>
        <v>0</v>
      </c>
      <c r="K291" s="2" t="s">
        <v>136</v>
      </c>
    </row>
    <row r="292" spans="1:11" ht="15" customHeight="1">
      <c r="A292" s="2">
        <v>291</v>
      </c>
      <c r="B292" s="2" t="s">
        <v>98</v>
      </c>
      <c r="C292" s="2" t="s">
        <v>16</v>
      </c>
      <c r="D292" s="2" t="s">
        <v>17</v>
      </c>
      <c r="E292" s="2">
        <f t="shared" si="24"/>
        <v>0</v>
      </c>
      <c r="F292" s="2">
        <f t="shared" si="25"/>
        <v>0</v>
      </c>
      <c r="G292" s="2">
        <f t="shared" si="26"/>
        <v>1</v>
      </c>
      <c r="H292" s="2">
        <f t="shared" si="27"/>
        <v>0</v>
      </c>
      <c r="I292" s="2">
        <f t="shared" si="28"/>
        <v>0</v>
      </c>
      <c r="J292" s="2">
        <f t="shared" si="29"/>
        <v>0</v>
      </c>
      <c r="K292" s="2" t="s">
        <v>136</v>
      </c>
    </row>
    <row r="293" spans="1:11" ht="15" customHeight="1">
      <c r="A293" s="2">
        <v>292</v>
      </c>
      <c r="B293" s="2" t="s">
        <v>98</v>
      </c>
      <c r="C293" s="2" t="s">
        <v>16</v>
      </c>
      <c r="D293" s="2" t="s">
        <v>17</v>
      </c>
      <c r="E293" s="2">
        <f t="shared" si="24"/>
        <v>0</v>
      </c>
      <c r="F293" s="2">
        <f t="shared" si="25"/>
        <v>0</v>
      </c>
      <c r="G293" s="2">
        <f t="shared" si="26"/>
        <v>1</v>
      </c>
      <c r="H293" s="2">
        <f t="shared" si="27"/>
        <v>0</v>
      </c>
      <c r="I293" s="2">
        <f t="shared" si="28"/>
        <v>0</v>
      </c>
      <c r="J293" s="2">
        <f t="shared" si="29"/>
        <v>0</v>
      </c>
      <c r="K293" s="2" t="s">
        <v>136</v>
      </c>
    </row>
    <row r="294" spans="1:11" ht="15" customHeight="1">
      <c r="A294" s="2">
        <v>293</v>
      </c>
      <c r="B294" s="2" t="s">
        <v>99</v>
      </c>
      <c r="C294" s="2" t="s">
        <v>31</v>
      </c>
      <c r="D294" s="2" t="s">
        <v>22</v>
      </c>
      <c r="E294" s="2">
        <f t="shared" si="24"/>
        <v>1</v>
      </c>
      <c r="F294" s="2">
        <f t="shared" si="25"/>
        <v>0</v>
      </c>
      <c r="G294" s="2">
        <f t="shared" si="26"/>
        <v>0</v>
      </c>
      <c r="H294" s="2">
        <f t="shared" si="27"/>
        <v>0</v>
      </c>
      <c r="I294" s="2">
        <f t="shared" si="28"/>
        <v>0</v>
      </c>
      <c r="J294" s="2">
        <f t="shared" si="29"/>
        <v>1</v>
      </c>
      <c r="K294" s="2" t="s">
        <v>136</v>
      </c>
    </row>
    <row r="295" spans="1:11" ht="15" customHeight="1">
      <c r="A295" s="2">
        <v>294</v>
      </c>
      <c r="B295" s="2" t="s">
        <v>99</v>
      </c>
      <c r="C295" s="2" t="s">
        <v>31</v>
      </c>
      <c r="D295" s="2" t="s">
        <v>22</v>
      </c>
      <c r="E295" s="2">
        <f t="shared" si="24"/>
        <v>1</v>
      </c>
      <c r="F295" s="2">
        <f t="shared" si="25"/>
        <v>0</v>
      </c>
      <c r="G295" s="2">
        <f t="shared" si="26"/>
        <v>0</v>
      </c>
      <c r="H295" s="2">
        <f t="shared" si="27"/>
        <v>0</v>
      </c>
      <c r="I295" s="2">
        <f t="shared" si="28"/>
        <v>0</v>
      </c>
      <c r="J295" s="2">
        <f t="shared" si="29"/>
        <v>1</v>
      </c>
      <c r="K295" s="2" t="s">
        <v>136</v>
      </c>
    </row>
    <row r="296" spans="1:11" ht="15" customHeight="1">
      <c r="A296" s="2">
        <v>295</v>
      </c>
      <c r="B296" s="2" t="s">
        <v>99</v>
      </c>
      <c r="C296" s="2" t="s">
        <v>31</v>
      </c>
      <c r="D296" s="2" t="s">
        <v>22</v>
      </c>
      <c r="E296" s="2">
        <f t="shared" si="24"/>
        <v>1</v>
      </c>
      <c r="F296" s="2">
        <f t="shared" si="25"/>
        <v>0</v>
      </c>
      <c r="G296" s="2">
        <f t="shared" si="26"/>
        <v>0</v>
      </c>
      <c r="H296" s="2">
        <f t="shared" si="27"/>
        <v>0</v>
      </c>
      <c r="I296" s="2">
        <f t="shared" si="28"/>
        <v>0</v>
      </c>
      <c r="J296" s="2">
        <f t="shared" si="29"/>
        <v>1</v>
      </c>
      <c r="K296" s="2" t="s">
        <v>136</v>
      </c>
    </row>
    <row r="297" spans="1:11" ht="15" customHeight="1">
      <c r="A297" s="2">
        <v>296</v>
      </c>
      <c r="B297" s="2" t="s">
        <v>99</v>
      </c>
      <c r="C297" s="2" t="s">
        <v>31</v>
      </c>
      <c r="D297" s="2" t="s">
        <v>22</v>
      </c>
      <c r="E297" s="2">
        <f t="shared" si="24"/>
        <v>1</v>
      </c>
      <c r="F297" s="2">
        <f t="shared" si="25"/>
        <v>0</v>
      </c>
      <c r="G297" s="2">
        <f t="shared" si="26"/>
        <v>0</v>
      </c>
      <c r="H297" s="2">
        <f t="shared" si="27"/>
        <v>0</v>
      </c>
      <c r="I297" s="2">
        <f t="shared" si="28"/>
        <v>0</v>
      </c>
      <c r="J297" s="2">
        <f t="shared" si="29"/>
        <v>1</v>
      </c>
      <c r="K297" s="2" t="s">
        <v>136</v>
      </c>
    </row>
    <row r="298" spans="1:11" ht="15" customHeight="1">
      <c r="A298" s="2">
        <v>297</v>
      </c>
      <c r="B298" s="2" t="s">
        <v>100</v>
      </c>
      <c r="C298" s="2" t="s">
        <v>31</v>
      </c>
      <c r="D298" s="2" t="s">
        <v>22</v>
      </c>
      <c r="E298" s="2">
        <f t="shared" si="24"/>
        <v>1</v>
      </c>
      <c r="F298" s="2">
        <f t="shared" si="25"/>
        <v>0</v>
      </c>
      <c r="G298" s="2">
        <f t="shared" si="26"/>
        <v>0</v>
      </c>
      <c r="H298" s="2">
        <f t="shared" si="27"/>
        <v>0</v>
      </c>
      <c r="I298" s="2">
        <f t="shared" si="28"/>
        <v>0</v>
      </c>
      <c r="J298" s="2">
        <f t="shared" si="29"/>
        <v>1</v>
      </c>
      <c r="K298" s="2" t="s">
        <v>136</v>
      </c>
    </row>
    <row r="299" spans="1:11" ht="15" customHeight="1">
      <c r="A299" s="2">
        <v>298</v>
      </c>
      <c r="B299" s="2" t="s">
        <v>100</v>
      </c>
      <c r="C299" s="2" t="s">
        <v>31</v>
      </c>
      <c r="D299" s="2" t="s">
        <v>22</v>
      </c>
      <c r="E299" s="2">
        <f t="shared" si="24"/>
        <v>1</v>
      </c>
      <c r="F299" s="2">
        <f t="shared" si="25"/>
        <v>0</v>
      </c>
      <c r="G299" s="2">
        <f t="shared" si="26"/>
        <v>0</v>
      </c>
      <c r="H299" s="2">
        <f t="shared" si="27"/>
        <v>0</v>
      </c>
      <c r="I299" s="2">
        <f t="shared" si="28"/>
        <v>0</v>
      </c>
      <c r="J299" s="2">
        <f t="shared" si="29"/>
        <v>1</v>
      </c>
      <c r="K299" s="2" t="s">
        <v>136</v>
      </c>
    </row>
    <row r="300" spans="1:11" ht="15" customHeight="1">
      <c r="A300" s="2">
        <v>299</v>
      </c>
      <c r="B300" s="2" t="s">
        <v>100</v>
      </c>
      <c r="C300" s="2" t="s">
        <v>31</v>
      </c>
      <c r="D300" s="2" t="s">
        <v>22</v>
      </c>
      <c r="E300" s="2">
        <f t="shared" si="24"/>
        <v>1</v>
      </c>
      <c r="F300" s="2">
        <f t="shared" si="25"/>
        <v>0</v>
      </c>
      <c r="G300" s="2">
        <f t="shared" si="26"/>
        <v>0</v>
      </c>
      <c r="H300" s="2">
        <f t="shared" si="27"/>
        <v>0</v>
      </c>
      <c r="I300" s="2">
        <f t="shared" si="28"/>
        <v>0</v>
      </c>
      <c r="J300" s="2">
        <f t="shared" si="29"/>
        <v>1</v>
      </c>
      <c r="K300" s="2" t="s">
        <v>136</v>
      </c>
    </row>
    <row r="301" spans="1:11" ht="15" customHeight="1">
      <c r="A301" s="2">
        <v>300</v>
      </c>
      <c r="B301" s="2" t="s">
        <v>100</v>
      </c>
      <c r="C301" s="2" t="s">
        <v>31</v>
      </c>
      <c r="D301" s="2" t="s">
        <v>22</v>
      </c>
      <c r="E301" s="2">
        <f t="shared" si="24"/>
        <v>1</v>
      </c>
      <c r="F301" s="2">
        <f t="shared" si="25"/>
        <v>0</v>
      </c>
      <c r="G301" s="2">
        <f t="shared" si="26"/>
        <v>0</v>
      </c>
      <c r="H301" s="2">
        <f t="shared" si="27"/>
        <v>0</v>
      </c>
      <c r="I301" s="2">
        <f t="shared" si="28"/>
        <v>0</v>
      </c>
      <c r="J301" s="2">
        <f t="shared" si="29"/>
        <v>1</v>
      </c>
      <c r="K301" s="2" t="s">
        <v>136</v>
      </c>
    </row>
    <row r="302" spans="1:11" ht="15" customHeight="1">
      <c r="A302" s="2">
        <v>301</v>
      </c>
      <c r="B302" s="2" t="s">
        <v>101</v>
      </c>
      <c r="C302" s="2" t="s">
        <v>24</v>
      </c>
      <c r="D302" s="2" t="s">
        <v>32</v>
      </c>
      <c r="E302" s="2">
        <f t="shared" si="24"/>
        <v>0</v>
      </c>
      <c r="F302" s="2">
        <f t="shared" si="25"/>
        <v>1</v>
      </c>
      <c r="G302" s="2">
        <f t="shared" si="26"/>
        <v>0</v>
      </c>
      <c r="H302" s="2">
        <f t="shared" si="27"/>
        <v>1</v>
      </c>
      <c r="I302" s="2">
        <f t="shared" si="28"/>
        <v>0</v>
      </c>
      <c r="J302" s="2">
        <f t="shared" si="29"/>
        <v>0</v>
      </c>
      <c r="K302" s="2" t="s">
        <v>136</v>
      </c>
    </row>
    <row r="303" spans="1:11" ht="15" customHeight="1">
      <c r="A303" s="2">
        <v>302</v>
      </c>
      <c r="B303" s="2" t="s">
        <v>101</v>
      </c>
      <c r="C303" s="2" t="s">
        <v>24</v>
      </c>
      <c r="D303" s="2" t="s">
        <v>32</v>
      </c>
      <c r="E303" s="2">
        <f t="shared" si="24"/>
        <v>0</v>
      </c>
      <c r="F303" s="2">
        <f t="shared" si="25"/>
        <v>1</v>
      </c>
      <c r="G303" s="2">
        <f t="shared" si="26"/>
        <v>0</v>
      </c>
      <c r="H303" s="2">
        <f t="shared" si="27"/>
        <v>1</v>
      </c>
      <c r="I303" s="2">
        <f t="shared" si="28"/>
        <v>0</v>
      </c>
      <c r="J303" s="2">
        <f t="shared" si="29"/>
        <v>0</v>
      </c>
      <c r="K303" s="2" t="s">
        <v>136</v>
      </c>
    </row>
    <row r="304" spans="1:11" ht="15" customHeight="1">
      <c r="A304" s="2">
        <v>303</v>
      </c>
      <c r="B304" s="2" t="s">
        <v>101</v>
      </c>
      <c r="C304" s="2" t="s">
        <v>24</v>
      </c>
      <c r="D304" s="2" t="s">
        <v>32</v>
      </c>
      <c r="E304" s="2">
        <f t="shared" si="24"/>
        <v>0</v>
      </c>
      <c r="F304" s="2">
        <f t="shared" si="25"/>
        <v>1</v>
      </c>
      <c r="G304" s="2">
        <f t="shared" si="26"/>
        <v>0</v>
      </c>
      <c r="H304" s="2">
        <f t="shared" si="27"/>
        <v>1</v>
      </c>
      <c r="I304" s="2">
        <f t="shared" si="28"/>
        <v>0</v>
      </c>
      <c r="J304" s="2">
        <f t="shared" si="29"/>
        <v>0</v>
      </c>
      <c r="K304" s="2" t="s">
        <v>136</v>
      </c>
    </row>
    <row r="305" spans="1:11" ht="15" customHeight="1">
      <c r="A305" s="2">
        <v>304</v>
      </c>
      <c r="B305" s="2" t="s">
        <v>101</v>
      </c>
      <c r="C305" s="2" t="s">
        <v>24</v>
      </c>
      <c r="D305" s="2" t="s">
        <v>32</v>
      </c>
      <c r="E305" s="2">
        <f t="shared" si="24"/>
        <v>0</v>
      </c>
      <c r="F305" s="2">
        <f t="shared" si="25"/>
        <v>1</v>
      </c>
      <c r="G305" s="2">
        <f t="shared" si="26"/>
        <v>0</v>
      </c>
      <c r="H305" s="2">
        <f t="shared" si="27"/>
        <v>1</v>
      </c>
      <c r="I305" s="2">
        <f t="shared" si="28"/>
        <v>0</v>
      </c>
      <c r="J305" s="2">
        <f t="shared" si="29"/>
        <v>0</v>
      </c>
      <c r="K305" s="2" t="s">
        <v>136</v>
      </c>
    </row>
    <row r="306" spans="1:11" ht="15" customHeight="1">
      <c r="A306" s="2">
        <v>305</v>
      </c>
      <c r="B306" s="2" t="s">
        <v>102</v>
      </c>
      <c r="C306" s="2" t="s">
        <v>28</v>
      </c>
      <c r="D306" s="2" t="s">
        <v>17</v>
      </c>
      <c r="E306" s="2">
        <f t="shared" si="24"/>
        <v>0</v>
      </c>
      <c r="F306" s="2">
        <f t="shared" si="25"/>
        <v>0</v>
      </c>
      <c r="G306" s="2">
        <f t="shared" si="26"/>
        <v>1</v>
      </c>
      <c r="H306" s="2">
        <f t="shared" si="27"/>
        <v>0</v>
      </c>
      <c r="I306" s="2">
        <f t="shared" si="28"/>
        <v>1</v>
      </c>
      <c r="J306" s="2">
        <f t="shared" si="29"/>
        <v>0</v>
      </c>
      <c r="K306" s="2" t="s">
        <v>136</v>
      </c>
    </row>
    <row r="307" spans="1:11" ht="15" customHeight="1">
      <c r="A307" s="2">
        <v>306</v>
      </c>
      <c r="B307" s="2" t="s">
        <v>102</v>
      </c>
      <c r="C307" s="2" t="s">
        <v>28</v>
      </c>
      <c r="D307" s="2" t="s">
        <v>17</v>
      </c>
      <c r="E307" s="2">
        <f t="shared" si="24"/>
        <v>0</v>
      </c>
      <c r="F307" s="2">
        <f t="shared" si="25"/>
        <v>0</v>
      </c>
      <c r="G307" s="2">
        <f t="shared" si="26"/>
        <v>1</v>
      </c>
      <c r="H307" s="2">
        <f t="shared" si="27"/>
        <v>0</v>
      </c>
      <c r="I307" s="2">
        <f t="shared" si="28"/>
        <v>1</v>
      </c>
      <c r="J307" s="2">
        <f t="shared" si="29"/>
        <v>0</v>
      </c>
      <c r="K307" s="2" t="s">
        <v>136</v>
      </c>
    </row>
    <row r="308" spans="1:11" ht="15" customHeight="1">
      <c r="A308" s="2">
        <v>307</v>
      </c>
      <c r="B308" s="2" t="s">
        <v>102</v>
      </c>
      <c r="C308" s="2" t="s">
        <v>28</v>
      </c>
      <c r="D308" s="2" t="s">
        <v>17</v>
      </c>
      <c r="E308" s="2">
        <f t="shared" si="24"/>
        <v>0</v>
      </c>
      <c r="F308" s="2">
        <f t="shared" si="25"/>
        <v>0</v>
      </c>
      <c r="G308" s="2">
        <f t="shared" si="26"/>
        <v>1</v>
      </c>
      <c r="H308" s="2">
        <f t="shared" si="27"/>
        <v>0</v>
      </c>
      <c r="I308" s="2">
        <f t="shared" si="28"/>
        <v>1</v>
      </c>
      <c r="J308" s="2">
        <f t="shared" si="29"/>
        <v>0</v>
      </c>
      <c r="K308" s="2" t="s">
        <v>136</v>
      </c>
    </row>
    <row r="309" spans="1:11" ht="15" customHeight="1">
      <c r="A309" s="2">
        <v>308</v>
      </c>
      <c r="B309" s="2" t="s">
        <v>102</v>
      </c>
      <c r="C309" s="2" t="s">
        <v>28</v>
      </c>
      <c r="D309" s="2" t="s">
        <v>17</v>
      </c>
      <c r="E309" s="2">
        <f t="shared" si="24"/>
        <v>0</v>
      </c>
      <c r="F309" s="2">
        <f t="shared" si="25"/>
        <v>0</v>
      </c>
      <c r="G309" s="2">
        <f t="shared" si="26"/>
        <v>1</v>
      </c>
      <c r="H309" s="2">
        <f t="shared" si="27"/>
        <v>0</v>
      </c>
      <c r="I309" s="2">
        <f t="shared" si="28"/>
        <v>1</v>
      </c>
      <c r="J309" s="2">
        <f t="shared" si="29"/>
        <v>0</v>
      </c>
      <c r="K309" s="2" t="s">
        <v>136</v>
      </c>
    </row>
    <row r="310" spans="1:11" ht="15" customHeight="1">
      <c r="A310" s="2">
        <v>309</v>
      </c>
      <c r="B310" s="2" t="s">
        <v>103</v>
      </c>
      <c r="C310" s="2" t="s">
        <v>28</v>
      </c>
      <c r="D310" s="2" t="s">
        <v>22</v>
      </c>
      <c r="E310" s="2">
        <f t="shared" si="24"/>
        <v>1</v>
      </c>
      <c r="F310" s="2">
        <f t="shared" si="25"/>
        <v>0</v>
      </c>
      <c r="G310" s="2">
        <f t="shared" si="26"/>
        <v>0</v>
      </c>
      <c r="H310" s="2">
        <f t="shared" si="27"/>
        <v>0</v>
      </c>
      <c r="I310" s="2">
        <f t="shared" si="28"/>
        <v>1</v>
      </c>
      <c r="J310" s="2">
        <f t="shared" si="29"/>
        <v>0</v>
      </c>
      <c r="K310" s="2" t="s">
        <v>136</v>
      </c>
    </row>
    <row r="311" spans="1:11" ht="15" customHeight="1">
      <c r="A311" s="2">
        <v>310</v>
      </c>
      <c r="B311" s="2" t="s">
        <v>103</v>
      </c>
      <c r="C311" s="2" t="s">
        <v>28</v>
      </c>
      <c r="D311" s="2" t="s">
        <v>22</v>
      </c>
      <c r="E311" s="2">
        <f t="shared" si="24"/>
        <v>1</v>
      </c>
      <c r="F311" s="2">
        <f t="shared" si="25"/>
        <v>0</v>
      </c>
      <c r="G311" s="2">
        <f t="shared" si="26"/>
        <v>0</v>
      </c>
      <c r="H311" s="2">
        <f t="shared" si="27"/>
        <v>0</v>
      </c>
      <c r="I311" s="2">
        <f t="shared" si="28"/>
        <v>1</v>
      </c>
      <c r="J311" s="2">
        <f t="shared" si="29"/>
        <v>0</v>
      </c>
      <c r="K311" s="2" t="s">
        <v>136</v>
      </c>
    </row>
    <row r="312" spans="1:11" ht="15" customHeight="1">
      <c r="A312" s="2">
        <v>311</v>
      </c>
      <c r="B312" s="2" t="s">
        <v>103</v>
      </c>
      <c r="C312" s="2" t="s">
        <v>28</v>
      </c>
      <c r="D312" s="2" t="s">
        <v>22</v>
      </c>
      <c r="E312" s="2">
        <f t="shared" si="24"/>
        <v>1</v>
      </c>
      <c r="F312" s="2">
        <f t="shared" si="25"/>
        <v>0</v>
      </c>
      <c r="G312" s="2">
        <f t="shared" si="26"/>
        <v>0</v>
      </c>
      <c r="H312" s="2">
        <f t="shared" si="27"/>
        <v>0</v>
      </c>
      <c r="I312" s="2">
        <f t="shared" si="28"/>
        <v>1</v>
      </c>
      <c r="J312" s="2">
        <f t="shared" si="29"/>
        <v>0</v>
      </c>
      <c r="K312" s="2" t="s">
        <v>136</v>
      </c>
    </row>
    <row r="313" spans="1:11" ht="15" customHeight="1">
      <c r="A313" s="2">
        <v>312</v>
      </c>
      <c r="B313" s="2" t="s">
        <v>103</v>
      </c>
      <c r="C313" s="2" t="s">
        <v>28</v>
      </c>
      <c r="D313" s="2" t="s">
        <v>22</v>
      </c>
      <c r="E313" s="2">
        <f t="shared" si="24"/>
        <v>1</v>
      </c>
      <c r="F313" s="2">
        <f t="shared" si="25"/>
        <v>0</v>
      </c>
      <c r="G313" s="2">
        <f t="shared" si="26"/>
        <v>0</v>
      </c>
      <c r="H313" s="2">
        <f t="shared" si="27"/>
        <v>0</v>
      </c>
      <c r="I313" s="2">
        <f t="shared" si="28"/>
        <v>1</v>
      </c>
      <c r="J313" s="2">
        <f t="shared" si="29"/>
        <v>0</v>
      </c>
      <c r="K313" s="2" t="s">
        <v>136</v>
      </c>
    </row>
    <row r="314" spans="1:11" ht="15" customHeight="1">
      <c r="A314" s="2">
        <v>313</v>
      </c>
      <c r="B314" s="2" t="s">
        <v>104</v>
      </c>
      <c r="C314" s="2" t="s">
        <v>24</v>
      </c>
      <c r="D314" s="2" t="s">
        <v>17</v>
      </c>
      <c r="E314" s="2">
        <f t="shared" si="24"/>
        <v>0</v>
      </c>
      <c r="F314" s="2">
        <f t="shared" si="25"/>
        <v>0</v>
      </c>
      <c r="G314" s="2">
        <f t="shared" si="26"/>
        <v>1</v>
      </c>
      <c r="H314" s="2">
        <f t="shared" si="27"/>
        <v>1</v>
      </c>
      <c r="I314" s="2">
        <f t="shared" si="28"/>
        <v>0</v>
      </c>
      <c r="J314" s="2">
        <f t="shared" si="29"/>
        <v>0</v>
      </c>
      <c r="K314" s="2" t="s">
        <v>136</v>
      </c>
    </row>
    <row r="315" spans="1:11" ht="15" customHeight="1">
      <c r="A315" s="2">
        <v>314</v>
      </c>
      <c r="B315" s="2" t="s">
        <v>104</v>
      </c>
      <c r="C315" s="2" t="s">
        <v>24</v>
      </c>
      <c r="D315" s="2" t="s">
        <v>17</v>
      </c>
      <c r="E315" s="2">
        <f t="shared" si="24"/>
        <v>0</v>
      </c>
      <c r="F315" s="2">
        <f t="shared" si="25"/>
        <v>0</v>
      </c>
      <c r="G315" s="2">
        <f t="shared" si="26"/>
        <v>1</v>
      </c>
      <c r="H315" s="2">
        <f t="shared" si="27"/>
        <v>1</v>
      </c>
      <c r="I315" s="2">
        <f t="shared" si="28"/>
        <v>0</v>
      </c>
      <c r="J315" s="2">
        <f t="shared" si="29"/>
        <v>0</v>
      </c>
      <c r="K315" s="2" t="s">
        <v>136</v>
      </c>
    </row>
    <row r="316" spans="1:11" ht="15" customHeight="1">
      <c r="A316" s="2">
        <v>315</v>
      </c>
      <c r="B316" s="2" t="s">
        <v>104</v>
      </c>
      <c r="C316" s="2" t="s">
        <v>24</v>
      </c>
      <c r="D316" s="2" t="s">
        <v>17</v>
      </c>
      <c r="E316" s="2">
        <f t="shared" si="24"/>
        <v>0</v>
      </c>
      <c r="F316" s="2">
        <f t="shared" si="25"/>
        <v>0</v>
      </c>
      <c r="G316" s="2">
        <f t="shared" si="26"/>
        <v>1</v>
      </c>
      <c r="H316" s="2">
        <f t="shared" si="27"/>
        <v>1</v>
      </c>
      <c r="I316" s="2">
        <f t="shared" si="28"/>
        <v>0</v>
      </c>
      <c r="J316" s="2">
        <f t="shared" si="29"/>
        <v>0</v>
      </c>
      <c r="K316" s="2" t="s">
        <v>136</v>
      </c>
    </row>
    <row r="317" spans="1:11" ht="15" customHeight="1">
      <c r="A317" s="2">
        <v>316</v>
      </c>
      <c r="B317" s="2" t="s">
        <v>104</v>
      </c>
      <c r="C317" s="2" t="s">
        <v>24</v>
      </c>
      <c r="D317" s="2" t="s">
        <v>17</v>
      </c>
      <c r="E317" s="2">
        <f t="shared" si="24"/>
        <v>0</v>
      </c>
      <c r="F317" s="2">
        <f t="shared" si="25"/>
        <v>0</v>
      </c>
      <c r="G317" s="2">
        <f t="shared" si="26"/>
        <v>1</v>
      </c>
      <c r="H317" s="2">
        <f t="shared" si="27"/>
        <v>1</v>
      </c>
      <c r="I317" s="2">
        <f t="shared" si="28"/>
        <v>0</v>
      </c>
      <c r="J317" s="2">
        <f t="shared" si="29"/>
        <v>0</v>
      </c>
      <c r="K317" s="2" t="s">
        <v>136</v>
      </c>
    </row>
    <row r="318" spans="1:11" ht="15" customHeight="1">
      <c r="A318" s="2">
        <v>317</v>
      </c>
      <c r="B318" s="2" t="s">
        <v>105</v>
      </c>
      <c r="C318" s="2" t="s">
        <v>16</v>
      </c>
      <c r="D318" s="2" t="s">
        <v>17</v>
      </c>
      <c r="E318" s="2">
        <f t="shared" si="24"/>
        <v>0</v>
      </c>
      <c r="F318" s="2">
        <f t="shared" si="25"/>
        <v>0</v>
      </c>
      <c r="G318" s="2">
        <f t="shared" si="26"/>
        <v>1</v>
      </c>
      <c r="H318" s="2">
        <f t="shared" si="27"/>
        <v>0</v>
      </c>
      <c r="I318" s="2">
        <f t="shared" si="28"/>
        <v>0</v>
      </c>
      <c r="J318" s="2">
        <f t="shared" si="29"/>
        <v>0</v>
      </c>
      <c r="K318" s="2" t="s">
        <v>136</v>
      </c>
    </row>
    <row r="319" spans="1:11" ht="15" customHeight="1">
      <c r="A319" s="2">
        <v>318</v>
      </c>
      <c r="B319" s="2" t="s">
        <v>105</v>
      </c>
      <c r="C319" s="2" t="s">
        <v>16</v>
      </c>
      <c r="D319" s="2" t="s">
        <v>17</v>
      </c>
      <c r="E319" s="2">
        <f t="shared" si="24"/>
        <v>0</v>
      </c>
      <c r="F319" s="2">
        <f t="shared" si="25"/>
        <v>0</v>
      </c>
      <c r="G319" s="2">
        <f t="shared" si="26"/>
        <v>1</v>
      </c>
      <c r="H319" s="2">
        <f t="shared" si="27"/>
        <v>0</v>
      </c>
      <c r="I319" s="2">
        <f t="shared" si="28"/>
        <v>0</v>
      </c>
      <c r="J319" s="2">
        <f t="shared" si="29"/>
        <v>0</v>
      </c>
      <c r="K319" s="2" t="s">
        <v>136</v>
      </c>
    </row>
    <row r="320" spans="1:11" ht="15" customHeight="1">
      <c r="A320" s="2">
        <v>319</v>
      </c>
      <c r="B320" s="2" t="s">
        <v>105</v>
      </c>
      <c r="C320" s="2" t="s">
        <v>16</v>
      </c>
      <c r="D320" s="2" t="s">
        <v>17</v>
      </c>
      <c r="E320" s="2">
        <f t="shared" si="24"/>
        <v>0</v>
      </c>
      <c r="F320" s="2">
        <f t="shared" si="25"/>
        <v>0</v>
      </c>
      <c r="G320" s="2">
        <f t="shared" si="26"/>
        <v>1</v>
      </c>
      <c r="H320" s="2">
        <f t="shared" si="27"/>
        <v>0</v>
      </c>
      <c r="I320" s="2">
        <f t="shared" si="28"/>
        <v>0</v>
      </c>
      <c r="J320" s="2">
        <f t="shared" si="29"/>
        <v>0</v>
      </c>
      <c r="K320" s="2" t="s">
        <v>136</v>
      </c>
    </row>
    <row r="321" spans="1:11" ht="15" customHeight="1">
      <c r="A321" s="2">
        <v>320</v>
      </c>
      <c r="B321" s="2" t="s">
        <v>105</v>
      </c>
      <c r="C321" s="2" t="s">
        <v>16</v>
      </c>
      <c r="D321" s="2" t="s">
        <v>17</v>
      </c>
      <c r="E321" s="2">
        <f t="shared" si="24"/>
        <v>0</v>
      </c>
      <c r="F321" s="2">
        <f t="shared" si="25"/>
        <v>0</v>
      </c>
      <c r="G321" s="2">
        <f t="shared" si="26"/>
        <v>1</v>
      </c>
      <c r="H321" s="2">
        <f t="shared" si="27"/>
        <v>0</v>
      </c>
      <c r="I321" s="2">
        <f t="shared" si="28"/>
        <v>0</v>
      </c>
      <c r="J321" s="2">
        <f t="shared" si="29"/>
        <v>0</v>
      </c>
      <c r="K321" s="2" t="s">
        <v>136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workbookViewId="0">
      <selection sqref="A1:XFD1048576"/>
    </sheetView>
  </sheetViews>
  <sheetFormatPr defaultRowHeight="14.25"/>
  <cols>
    <col min="1" max="1" width="28" bestFit="1" customWidth="1"/>
    <col min="2" max="2" width="18.625" bestFit="1" customWidth="1"/>
    <col min="3" max="3" width="21.25" bestFit="1" customWidth="1"/>
    <col min="4" max="4" width="60.375" bestFit="1" customWidth="1"/>
    <col min="5" max="5" width="11.375" bestFit="1" customWidth="1"/>
    <col min="6" max="6" width="12" bestFit="1" customWidth="1"/>
    <col min="7" max="7" width="11.375" bestFit="1" customWidth="1"/>
    <col min="8" max="8" width="95.75" bestFit="1" customWidth="1"/>
    <col min="9" max="9" width="28" bestFit="1" customWidth="1"/>
  </cols>
  <sheetData>
    <row r="1" spans="1:9" ht="16.7" customHeight="1">
      <c r="A1" s="12" t="s">
        <v>137</v>
      </c>
      <c r="B1" s="13"/>
      <c r="C1" s="13"/>
      <c r="D1" s="13"/>
      <c r="E1" s="14"/>
      <c r="F1" s="15"/>
      <c r="G1" s="16"/>
      <c r="H1" s="13"/>
      <c r="I1" s="13"/>
    </row>
    <row r="3" spans="1:9" ht="15" customHeight="1">
      <c r="A3" s="1" t="s">
        <v>138</v>
      </c>
      <c r="B3" s="1" t="s">
        <v>139</v>
      </c>
      <c r="C3" s="1" t="s">
        <v>140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145</v>
      </c>
      <c r="I3" s="1" t="s">
        <v>146</v>
      </c>
    </row>
    <row r="4" spans="1:9" ht="26.45" customHeight="1">
      <c r="A4" s="2" t="s">
        <v>147</v>
      </c>
      <c r="B4" s="2" t="s">
        <v>12</v>
      </c>
      <c r="C4" s="2" t="s">
        <v>4</v>
      </c>
      <c r="D4" s="2" t="s">
        <v>148</v>
      </c>
      <c r="E4" s="2">
        <v>0.16724469112486995</v>
      </c>
      <c r="F4" s="2">
        <v>2.1295753275898281</v>
      </c>
      <c r="G4" s="2">
        <v>2.4868995751603507E-14</v>
      </c>
      <c r="H4" s="2" t="s">
        <v>149</v>
      </c>
      <c r="I4" s="2" t="s">
        <v>150</v>
      </c>
    </row>
    <row r="5" spans="1:9" ht="26.45" customHeight="1">
      <c r="A5" s="2" t="s">
        <v>151</v>
      </c>
      <c r="B5" s="2" t="s">
        <v>12</v>
      </c>
      <c r="C5" s="2" t="s">
        <v>5</v>
      </c>
      <c r="D5" s="2" t="s">
        <v>152</v>
      </c>
      <c r="E5" s="2">
        <v>0.73628534000331103</v>
      </c>
      <c r="F5" s="2">
        <v>35.678031072640437</v>
      </c>
      <c r="G5" s="2">
        <v>0</v>
      </c>
      <c r="H5" s="2" t="s">
        <v>153</v>
      </c>
      <c r="I5" s="2" t="s">
        <v>150</v>
      </c>
    </row>
    <row r="6" spans="1:9" ht="26.45" customHeight="1">
      <c r="A6" s="2" t="s">
        <v>154</v>
      </c>
      <c r="B6" s="2" t="s">
        <v>12</v>
      </c>
      <c r="C6" s="2" t="s">
        <v>6</v>
      </c>
      <c r="D6" s="2" t="s">
        <v>155</v>
      </c>
      <c r="E6" s="2">
        <v>8.2905030244004863E-3</v>
      </c>
      <c r="F6" s="2">
        <v>-138730.45471638066</v>
      </c>
      <c r="G6" s="2">
        <v>0.10399304641903373</v>
      </c>
      <c r="H6" s="2" t="s">
        <v>156</v>
      </c>
      <c r="I6" s="2" t="s">
        <v>157</v>
      </c>
    </row>
    <row r="7" spans="1:9" ht="26.45" customHeight="1">
      <c r="A7" s="2" t="s">
        <v>158</v>
      </c>
      <c r="B7" s="2" t="s">
        <v>12</v>
      </c>
      <c r="C7" s="2" t="s">
        <v>8</v>
      </c>
      <c r="D7" s="2" t="s">
        <v>159</v>
      </c>
      <c r="E7" s="2">
        <v>1.3115015964404453E-2</v>
      </c>
      <c r="F7" s="2">
        <v>2217.8319409989203</v>
      </c>
      <c r="G7" s="2">
        <v>4.0625296630219854E-2</v>
      </c>
      <c r="H7" s="2" t="s">
        <v>160</v>
      </c>
      <c r="I7" s="2" t="s">
        <v>161</v>
      </c>
    </row>
    <row r="8" spans="1:9" ht="26.45" customHeight="1">
      <c r="A8" s="2" t="s">
        <v>162</v>
      </c>
      <c r="B8" s="2" t="s">
        <v>12</v>
      </c>
      <c r="C8" s="2" t="s">
        <v>11</v>
      </c>
      <c r="D8" s="2" t="s">
        <v>163</v>
      </c>
      <c r="E8" s="2">
        <v>6.9845265596490957E-4</v>
      </c>
      <c r="F8" s="2">
        <v>-5284.8663175152778</v>
      </c>
      <c r="G8" s="2">
        <v>0.63764415103952166</v>
      </c>
      <c r="H8" s="2" t="s">
        <v>164</v>
      </c>
      <c r="I8" s="2" t="s">
        <v>157</v>
      </c>
    </row>
    <row r="9" spans="1:9" ht="26.45" customHeight="1">
      <c r="A9" s="2" t="s">
        <v>165</v>
      </c>
      <c r="B9" s="2" t="s">
        <v>12</v>
      </c>
      <c r="C9" s="2" t="s">
        <v>7</v>
      </c>
      <c r="D9" s="2" t="s">
        <v>166</v>
      </c>
      <c r="E9" s="2">
        <v>0.65229044698823846</v>
      </c>
      <c r="F9" s="2">
        <v>16984.028760225789</v>
      </c>
      <c r="G9" s="2">
        <v>0</v>
      </c>
      <c r="H9" s="2" t="s">
        <v>167</v>
      </c>
      <c r="I9" s="2" t="s">
        <v>150</v>
      </c>
    </row>
    <row r="10" spans="1:9" ht="26.45" customHeight="1">
      <c r="A10" s="2" t="s">
        <v>168</v>
      </c>
      <c r="B10" s="2" t="s">
        <v>12</v>
      </c>
      <c r="C10" s="2" t="s">
        <v>9</v>
      </c>
      <c r="D10" s="2" t="s">
        <v>169</v>
      </c>
      <c r="E10" s="2">
        <v>1.1443607278319501E-2</v>
      </c>
      <c r="F10" s="2">
        <v>-2612.9595809124712</v>
      </c>
      <c r="G10" s="2">
        <v>5.5924495469483304E-2</v>
      </c>
      <c r="H10" s="2" t="s">
        <v>170</v>
      </c>
      <c r="I10" s="2" t="s">
        <v>171</v>
      </c>
    </row>
    <row r="11" spans="1:9" ht="26.45" customHeight="1">
      <c r="A11" s="2" t="s">
        <v>172</v>
      </c>
      <c r="B11" s="2" t="s">
        <v>12</v>
      </c>
      <c r="C11" s="2" t="s">
        <v>10</v>
      </c>
      <c r="D11" s="2" t="s">
        <v>173</v>
      </c>
      <c r="E11" s="2">
        <v>3.8128574446233188E-2</v>
      </c>
      <c r="F11" s="2">
        <v>53625.335368782209</v>
      </c>
      <c r="G11" s="2">
        <v>4.4270737119700421E-4</v>
      </c>
      <c r="H11" s="2" t="s">
        <v>174</v>
      </c>
      <c r="I11" s="2" t="s">
        <v>161</v>
      </c>
    </row>
    <row r="15" spans="1:9" ht="15" customHeight="1">
      <c r="A15" s="1" t="s">
        <v>175</v>
      </c>
      <c r="B15" s="1" t="s">
        <v>176</v>
      </c>
      <c r="C15" s="1"/>
      <c r="D15" s="1"/>
    </row>
    <row r="16" spans="1:9" ht="15" customHeight="1">
      <c r="A16" t="s">
        <v>177</v>
      </c>
      <c r="B16" t="s">
        <v>151</v>
      </c>
    </row>
    <row r="17" spans="1:4" ht="15" customHeight="1">
      <c r="A17" t="s">
        <v>178</v>
      </c>
      <c r="B17" s="7">
        <v>320</v>
      </c>
    </row>
    <row r="18" spans="1:4" ht="15" customHeight="1">
      <c r="A18" t="s">
        <v>142</v>
      </c>
      <c r="B18" s="7">
        <v>0.73628534000331103</v>
      </c>
    </row>
    <row r="19" spans="1:4" ht="15" customHeight="1">
      <c r="A19" t="s">
        <v>179</v>
      </c>
      <c r="B19" s="7">
        <v>0.73545604861967362</v>
      </c>
    </row>
    <row r="20" spans="1:4" ht="15" customHeight="1">
      <c r="A20" t="s">
        <v>180</v>
      </c>
      <c r="B20">
        <v>53373.736380790499</v>
      </c>
    </row>
    <row r="21" spans="1:4" ht="15" customHeight="1">
      <c r="A21" t="s">
        <v>181</v>
      </c>
    </row>
    <row r="22" spans="1:4" ht="15" customHeight="1">
      <c r="A22" s="1" t="s">
        <v>182</v>
      </c>
      <c r="B22" s="1" t="s">
        <v>143</v>
      </c>
      <c r="C22" s="1" t="s">
        <v>183</v>
      </c>
      <c r="D22" s="1" t="s">
        <v>144</v>
      </c>
    </row>
    <row r="23" spans="1:4" ht="15" customHeight="1">
      <c r="A23" t="s">
        <v>184</v>
      </c>
      <c r="B23" s="8">
        <v>446410.58293395385</v>
      </c>
      <c r="C23" s="8">
        <v>8407.7382630059928</v>
      </c>
      <c r="D23" s="8">
        <v>0</v>
      </c>
    </row>
    <row r="24" spans="1:4" ht="15" customHeight="1">
      <c r="A24" t="s">
        <v>5</v>
      </c>
      <c r="B24" s="8">
        <v>35.678031072640437</v>
      </c>
      <c r="C24" s="8">
        <v>1.1973782890340823</v>
      </c>
      <c r="D24" s="8">
        <v>0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workbookViewId="0">
      <selection sqref="A1:XFD1048576"/>
    </sheetView>
  </sheetViews>
  <sheetFormatPr defaultRowHeight="14.25"/>
  <cols>
    <col min="1" max="1" width="27.5" bestFit="1" customWidth="1"/>
    <col min="2" max="2" width="12.625" bestFit="1" customWidth="1"/>
    <col min="3" max="3" width="14.125" bestFit="1" customWidth="1"/>
    <col min="4" max="4" width="12" customWidth="1"/>
    <col min="5" max="5" width="11.375" bestFit="1" customWidth="1"/>
    <col min="6" max="6" width="9" bestFit="1" customWidth="1"/>
    <col min="7" max="7" width="84.625" bestFit="1" customWidth="1"/>
  </cols>
  <sheetData>
    <row r="1" spans="1:8" ht="16.7" customHeight="1">
      <c r="A1" s="12" t="s">
        <v>185</v>
      </c>
      <c r="B1" s="15"/>
      <c r="C1" s="15"/>
      <c r="D1" s="15"/>
      <c r="E1" s="16"/>
      <c r="F1" s="13"/>
      <c r="G1" s="13"/>
      <c r="H1" s="13"/>
    </row>
    <row r="3" spans="1:8" ht="15" customHeight="1">
      <c r="A3" s="1" t="s">
        <v>186</v>
      </c>
      <c r="B3" s="1" t="s">
        <v>176</v>
      </c>
    </row>
    <row r="4" spans="1:8" ht="15" customHeight="1">
      <c r="A4" s="2" t="s">
        <v>139</v>
      </c>
      <c r="B4" s="2" t="s">
        <v>12</v>
      </c>
    </row>
    <row r="5" spans="1:8" ht="15" customHeight="1">
      <c r="A5" s="2" t="s">
        <v>178</v>
      </c>
      <c r="B5" s="2">
        <v>320</v>
      </c>
    </row>
    <row r="6" spans="1:8" ht="15" customHeight="1">
      <c r="A6" s="2" t="s">
        <v>142</v>
      </c>
      <c r="B6" s="9">
        <v>0.85698738547665765</v>
      </c>
    </row>
    <row r="7" spans="1:8" ht="15" customHeight="1">
      <c r="A7" s="2" t="s">
        <v>179</v>
      </c>
      <c r="B7" s="9">
        <v>0.85042287202312716</v>
      </c>
    </row>
    <row r="8" spans="1:8" ht="15" customHeight="1">
      <c r="A8" s="2" t="s">
        <v>180</v>
      </c>
      <c r="B8" s="10">
        <v>40133.892517127199</v>
      </c>
    </row>
    <row r="9" spans="1:8" ht="15" customHeight="1">
      <c r="A9" s="2" t="s">
        <v>187</v>
      </c>
      <c r="B9" s="2" t="s">
        <v>25</v>
      </c>
    </row>
    <row r="10" spans="1:8" ht="15" customHeight="1">
      <c r="A10" s="2" t="s">
        <v>188</v>
      </c>
      <c r="B10" s="2" t="s">
        <v>16</v>
      </c>
    </row>
    <row r="13" spans="1:8" ht="15" customHeight="1">
      <c r="A13" s="1" t="s">
        <v>189</v>
      </c>
      <c r="B13" s="1" t="s">
        <v>143</v>
      </c>
      <c r="C13" s="1" t="s">
        <v>183</v>
      </c>
      <c r="D13" s="1" t="s">
        <v>190</v>
      </c>
      <c r="E13" s="1" t="s">
        <v>144</v>
      </c>
      <c r="F13" s="1" t="s">
        <v>191</v>
      </c>
      <c r="G13" s="1" t="s">
        <v>192</v>
      </c>
    </row>
    <row r="14" spans="1:8" ht="15" customHeight="1">
      <c r="A14" s="2" t="s">
        <v>184</v>
      </c>
      <c r="B14" s="2">
        <v>86319.144914197386</v>
      </c>
      <c r="C14" s="2">
        <v>44919.542228800841</v>
      </c>
      <c r="D14" s="2">
        <v>1.9216390156988858</v>
      </c>
      <c r="E14" s="2">
        <v>5.5582820390760901E-2</v>
      </c>
      <c r="F14" s="2" t="s">
        <v>193</v>
      </c>
      <c r="G14" s="2" t="s">
        <v>194</v>
      </c>
    </row>
    <row r="15" spans="1:8" ht="15" customHeight="1">
      <c r="A15" s="2" t="s">
        <v>4</v>
      </c>
      <c r="B15" s="2">
        <v>1.2099284920599889</v>
      </c>
      <c r="C15" s="2">
        <v>0.11693921413810524</v>
      </c>
      <c r="D15" s="2">
        <v>10.346644630526276</v>
      </c>
      <c r="E15" s="2">
        <v>0</v>
      </c>
      <c r="F15" s="2" t="s">
        <v>193</v>
      </c>
      <c r="G15" s="2" t="s">
        <v>195</v>
      </c>
    </row>
    <row r="16" spans="1:8" ht="15" customHeight="1">
      <c r="A16" s="2" t="s">
        <v>5</v>
      </c>
      <c r="B16" s="2">
        <v>27.33619481561017</v>
      </c>
      <c r="C16" s="2">
        <v>2.3063597168415431</v>
      </c>
      <c r="D16" s="2">
        <v>11.852528734349329</v>
      </c>
      <c r="E16" s="2">
        <v>0</v>
      </c>
      <c r="F16" s="2" t="s">
        <v>193</v>
      </c>
      <c r="G16" s="2" t="s">
        <v>196</v>
      </c>
    </row>
    <row r="17" spans="1:7" ht="15" customHeight="1">
      <c r="A17" s="2" t="s">
        <v>6</v>
      </c>
      <c r="B17" s="2">
        <v>-41243.148834222855</v>
      </c>
      <c r="C17" s="2">
        <v>33875.970771640241</v>
      </c>
      <c r="D17" s="2">
        <v>-1.2174750389367484</v>
      </c>
      <c r="E17" s="2">
        <v>0.22436462895841469</v>
      </c>
      <c r="F17" s="2" t="s">
        <v>197</v>
      </c>
      <c r="G17" s="2" t="s">
        <v>198</v>
      </c>
    </row>
    <row r="18" spans="1:7" ht="15" customHeight="1">
      <c r="A18" s="2" t="s">
        <v>7</v>
      </c>
      <c r="B18" s="2">
        <v>3508.3991633991868</v>
      </c>
      <c r="C18" s="2">
        <v>1161.8068351442294</v>
      </c>
      <c r="D18" s="2">
        <v>3.0197783807698517</v>
      </c>
      <c r="E18" s="2">
        <v>2.7434138311837053E-3</v>
      </c>
      <c r="F18" s="2" t="s">
        <v>193</v>
      </c>
      <c r="G18" s="2" t="s">
        <v>199</v>
      </c>
    </row>
    <row r="19" spans="1:7" ht="15" customHeight="1">
      <c r="A19" s="2" t="s">
        <v>8</v>
      </c>
      <c r="B19" s="2">
        <v>3062.2102855188873</v>
      </c>
      <c r="C19" s="2">
        <v>426.10270671377958</v>
      </c>
      <c r="D19" s="2">
        <v>7.1865544087609514</v>
      </c>
      <c r="E19" s="2">
        <v>5.1341153550765739E-12</v>
      </c>
      <c r="F19" s="2" t="s">
        <v>193</v>
      </c>
      <c r="G19" s="2" t="s">
        <v>200</v>
      </c>
    </row>
    <row r="20" spans="1:7" ht="15" customHeight="1">
      <c r="A20" s="2" t="s">
        <v>9</v>
      </c>
      <c r="B20" s="2">
        <v>-3438.1079103628858</v>
      </c>
      <c r="C20" s="2">
        <v>540.28003647917967</v>
      </c>
      <c r="D20" s="2">
        <v>-6.3635664437425081</v>
      </c>
      <c r="E20" s="2">
        <v>7.2150951879734748E-10</v>
      </c>
      <c r="F20" s="2" t="s">
        <v>197</v>
      </c>
      <c r="G20" s="2" t="s">
        <v>201</v>
      </c>
    </row>
    <row r="21" spans="1:7" ht="15" customHeight="1">
      <c r="A21" s="2" t="s">
        <v>10</v>
      </c>
      <c r="B21" s="2">
        <v>15157.287282130052</v>
      </c>
      <c r="C21" s="2">
        <v>6127.8091647488809</v>
      </c>
      <c r="D21" s="2">
        <v>2.4735246928583492</v>
      </c>
      <c r="E21" s="2">
        <v>1.3923163656385906E-2</v>
      </c>
      <c r="F21" s="2" t="s">
        <v>193</v>
      </c>
      <c r="G21" s="2" t="s">
        <v>202</v>
      </c>
    </row>
    <row r="22" spans="1:7" ht="15" customHeight="1">
      <c r="A22" s="2" t="s">
        <v>11</v>
      </c>
      <c r="B22" s="2">
        <v>12509.461305565295</v>
      </c>
      <c r="C22" s="2">
        <v>4448.8855743031299</v>
      </c>
      <c r="D22" s="2">
        <v>2.8118190716839839</v>
      </c>
      <c r="E22" s="2">
        <v>5.2453969385262145E-3</v>
      </c>
      <c r="F22" s="2" t="s">
        <v>193</v>
      </c>
      <c r="G22" s="2" t="s">
        <v>203</v>
      </c>
    </row>
    <row r="23" spans="1:7" ht="15" customHeight="1">
      <c r="A23" s="2" t="s">
        <v>129</v>
      </c>
      <c r="B23" s="2">
        <v>-24475.835824211659</v>
      </c>
      <c r="C23" s="2">
        <v>8614.8501952409551</v>
      </c>
      <c r="D23" s="2">
        <v>-2.8411214669446818</v>
      </c>
      <c r="E23" s="2">
        <v>4.7981654063178336E-3</v>
      </c>
      <c r="F23" s="2" t="s">
        <v>197</v>
      </c>
      <c r="G23" s="2" t="s">
        <v>204</v>
      </c>
    </row>
    <row r="24" spans="1:7" ht="15" customHeight="1">
      <c r="A24" s="2" t="s">
        <v>130</v>
      </c>
      <c r="B24" s="2">
        <v>-11862.241385709105</v>
      </c>
      <c r="C24" s="2">
        <v>8968.0125338385933</v>
      </c>
      <c r="D24" s="2">
        <v>-1.322728011468522</v>
      </c>
      <c r="E24" s="2">
        <v>0.18691674368568023</v>
      </c>
      <c r="F24" s="2" t="s">
        <v>197</v>
      </c>
      <c r="G24" s="2" t="s">
        <v>204</v>
      </c>
    </row>
    <row r="25" spans="1:7" ht="15" customHeight="1">
      <c r="A25" s="2" t="s">
        <v>131</v>
      </c>
      <c r="B25" s="2">
        <v>-44695.09489774028</v>
      </c>
      <c r="C25" s="2">
        <v>8748.7921084708578</v>
      </c>
      <c r="D25" s="2">
        <v>-5.1087160768702082</v>
      </c>
      <c r="E25" s="2">
        <v>5.728674443705728E-7</v>
      </c>
      <c r="F25" s="2" t="s">
        <v>197</v>
      </c>
      <c r="G25" s="2" t="s">
        <v>204</v>
      </c>
    </row>
    <row r="26" spans="1:7" ht="15" customHeight="1">
      <c r="A26" s="2" t="s">
        <v>132</v>
      </c>
      <c r="B26" s="2">
        <v>9948.713601911255</v>
      </c>
      <c r="C26" s="2">
        <v>6567.2743295024793</v>
      </c>
      <c r="D26" s="2">
        <v>1.5148923438782167</v>
      </c>
      <c r="E26" s="2">
        <v>0.13083528987201998</v>
      </c>
      <c r="F26" s="2" t="s">
        <v>193</v>
      </c>
      <c r="G26" s="2" t="s">
        <v>205</v>
      </c>
    </row>
    <row r="27" spans="1:7" ht="15" customHeight="1">
      <c r="A27" s="2" t="s">
        <v>133</v>
      </c>
      <c r="B27" s="2">
        <v>21089.565690568728</v>
      </c>
      <c r="C27" s="2">
        <v>6630.0868557677959</v>
      </c>
      <c r="D27" s="2">
        <v>3.1808882974469652</v>
      </c>
      <c r="E27" s="2">
        <v>1.6193792507603888E-3</v>
      </c>
      <c r="F27" s="2" t="s">
        <v>193</v>
      </c>
      <c r="G27" s="2" t="s">
        <v>205</v>
      </c>
    </row>
    <row r="28" spans="1:7" ht="15" customHeight="1">
      <c r="A28" s="2" t="s">
        <v>134</v>
      </c>
      <c r="B28" s="2">
        <v>25291.41890806298</v>
      </c>
      <c r="C28" s="2">
        <v>5898.7976000956241</v>
      </c>
      <c r="D28" s="2">
        <v>4.2875549599553961</v>
      </c>
      <c r="E28" s="2">
        <v>2.4264744625135393E-5</v>
      </c>
      <c r="F28" s="2" t="s">
        <v>193</v>
      </c>
      <c r="G28" s="2" t="s">
        <v>205</v>
      </c>
    </row>
  </sheetData>
  <mergeCells count="1"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21"/>
  <sheetViews>
    <sheetView workbookViewId="0">
      <selection sqref="A1:XFD1048576"/>
    </sheetView>
  </sheetViews>
  <sheetFormatPr defaultRowHeight="14.25"/>
  <cols>
    <col min="1" max="1" width="9.375" bestFit="1" customWidth="1"/>
    <col min="2" max="2" width="9.25" bestFit="1" customWidth="1"/>
    <col min="3" max="3" width="10.125" bestFit="1" customWidth="1"/>
    <col min="4" max="4" width="6.625" bestFit="1" customWidth="1"/>
    <col min="5" max="5" width="10.25" bestFit="1" customWidth="1"/>
    <col min="6" max="6" width="19.875" bestFit="1" customWidth="1"/>
    <col min="7" max="7" width="16.25" bestFit="1" customWidth="1"/>
    <col min="8" max="8" width="7" bestFit="1" customWidth="1"/>
    <col min="9" max="9" width="16.625" bestFit="1" customWidth="1"/>
    <col min="10" max="10" width="10.75" bestFit="1" customWidth="1"/>
    <col min="11" max="11" width="23.625" bestFit="1" customWidth="1"/>
    <col min="12" max="12" width="22.75" bestFit="1" customWidth="1"/>
    <col min="13" max="13" width="11.375" bestFit="1" customWidth="1"/>
    <col min="14" max="14" width="15.375" bestFit="1" customWidth="1"/>
    <col min="15" max="15" width="22.25" bestFit="1" customWidth="1"/>
    <col min="16" max="16" width="15" bestFit="1" customWidth="1"/>
    <col min="17" max="17" width="21.625" bestFit="1" customWidth="1"/>
    <col min="18" max="18" width="12.625" bestFit="1" customWidth="1"/>
    <col min="19" max="19" width="13" bestFit="1" customWidth="1"/>
    <col min="20" max="20" width="12" bestFit="1" customWidth="1"/>
    <col min="21" max="21" width="15.125" bestFit="1" customWidth="1"/>
    <col min="22" max="22" width="12" bestFit="1" customWidth="1"/>
    <col min="24" max="24" width="9.25" bestFit="1" customWidth="1"/>
    <col min="25" max="25" width="10.125" bestFit="1" customWidth="1"/>
    <col min="26" max="26" width="6.625" bestFit="1" customWidth="1"/>
    <col min="27" max="27" width="10.25" bestFit="1" customWidth="1"/>
    <col min="28" max="28" width="11.75" bestFit="1" customWidth="1"/>
    <col min="29" max="29" width="15.125" bestFit="1" customWidth="1"/>
    <col min="30" max="30" width="12.5" bestFit="1" customWidth="1"/>
  </cols>
  <sheetData>
    <row r="1" spans="1:30" ht="26.45" customHeight="1">
      <c r="A1" s="1" t="s">
        <v>122</v>
      </c>
      <c r="B1" s="1" t="s">
        <v>0</v>
      </c>
      <c r="C1" s="11" t="s">
        <v>1</v>
      </c>
      <c r="D1" s="1" t="s">
        <v>2</v>
      </c>
      <c r="E1" s="1" t="s">
        <v>3</v>
      </c>
      <c r="F1" s="3" t="s">
        <v>206</v>
      </c>
      <c r="G1" s="3" t="s">
        <v>4</v>
      </c>
      <c r="H1" s="1" t="s">
        <v>5</v>
      </c>
      <c r="I1" s="5" t="s">
        <v>6</v>
      </c>
      <c r="J1" s="1" t="s">
        <v>7</v>
      </c>
      <c r="K1" s="6" t="s">
        <v>8</v>
      </c>
      <c r="L1" s="1" t="s">
        <v>9</v>
      </c>
      <c r="M1" s="1" t="s">
        <v>10</v>
      </c>
      <c r="N1" s="1" t="s">
        <v>11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3" t="s">
        <v>207</v>
      </c>
      <c r="V1" s="3" t="s">
        <v>208</v>
      </c>
      <c r="X1" s="17" t="s">
        <v>209</v>
      </c>
      <c r="Y1" s="18"/>
      <c r="Z1" s="17"/>
      <c r="AA1" s="17"/>
      <c r="AB1" s="19"/>
      <c r="AC1" s="19"/>
      <c r="AD1" s="19"/>
    </row>
    <row r="2" spans="1:30" ht="15" customHeight="1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658832.62</v>
      </c>
      <c r="G2" s="2">
        <v>70389.11</v>
      </c>
      <c r="H2" s="2">
        <v>8302</v>
      </c>
      <c r="I2" s="2">
        <v>4.2000000000000003E-2</v>
      </c>
      <c r="J2" s="2">
        <v>17</v>
      </c>
      <c r="K2" s="2">
        <v>75</v>
      </c>
      <c r="L2" s="2">
        <v>5.28</v>
      </c>
      <c r="M2" s="2">
        <v>1</v>
      </c>
      <c r="N2" s="2">
        <v>3.1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>
        <v>0</v>
      </c>
      <c r="U2" s="2">
        <f>'Multiple Regression Outputs'!$B$14+G2*'Multiple Regression Outputs'!$B$15+H2*'Multiple Regression Outputs'!$B$16+I2*'Multiple Regression Outputs'!$B$17+J2*'Multiple Regression Outputs'!$B$18+K2*'Multiple Regression Outputs'!$B$19+L2*'Multiple Regression Outputs'!$B$20+M2*'Multiple Regression Outputs'!$B$21+N2*'Multiple Regression Outputs'!$B$22+O2*'Multiple Regression Outputs'!$B$23+P2*'Multiple Regression Outputs'!$B$24+Q2*'Multiple Regression Outputs'!$B$25+R2*'Multiple Regression Outputs'!$B$26+S2*'Multiple Regression Outputs'!$B$27+T2*'Multiple Regression Outputs'!$B$28</f>
        <v>677094.68159872945</v>
      </c>
      <c r="V2" s="2">
        <f t="shared" ref="V2:V65" si="0">F2-U2</f>
        <v>-18262.061598729459</v>
      </c>
      <c r="X2" s="1" t="s">
        <v>0</v>
      </c>
      <c r="Y2" s="1" t="s">
        <v>1</v>
      </c>
      <c r="Z2" s="1" t="s">
        <v>2</v>
      </c>
      <c r="AA2" s="1" t="s">
        <v>3</v>
      </c>
      <c r="AB2" s="1" t="s">
        <v>210</v>
      </c>
      <c r="AC2" s="1" t="s">
        <v>207</v>
      </c>
      <c r="AD2" s="1" t="s">
        <v>208</v>
      </c>
    </row>
    <row r="3" spans="1:30" ht="15" customHeight="1">
      <c r="A3" s="2">
        <v>2</v>
      </c>
      <c r="B3" s="2" t="s">
        <v>14</v>
      </c>
      <c r="C3" s="2" t="s">
        <v>18</v>
      </c>
      <c r="D3" s="2" t="s">
        <v>16</v>
      </c>
      <c r="E3" s="2" t="s">
        <v>17</v>
      </c>
      <c r="F3" s="2">
        <v>634436</v>
      </c>
      <c r="G3" s="2">
        <v>43827.89</v>
      </c>
      <c r="H3" s="2">
        <v>8487</v>
      </c>
      <c r="I3" s="2">
        <v>0.16800000000000001</v>
      </c>
      <c r="J3" s="2">
        <v>23</v>
      </c>
      <c r="K3" s="2">
        <v>84.4</v>
      </c>
      <c r="L3" s="2">
        <v>4.3099999999999996</v>
      </c>
      <c r="M3" s="2">
        <v>0</v>
      </c>
      <c r="N3" s="2">
        <v>2.8</v>
      </c>
      <c r="O3" s="2">
        <v>0</v>
      </c>
      <c r="P3" s="2">
        <v>0</v>
      </c>
      <c r="Q3" s="2">
        <v>1</v>
      </c>
      <c r="R3" s="2">
        <v>0</v>
      </c>
      <c r="S3" s="2">
        <v>0</v>
      </c>
      <c r="T3" s="2">
        <v>0</v>
      </c>
      <c r="U3" s="2">
        <f>'Multiple Regression Outputs'!$B$14+G3*'Multiple Regression Outputs'!$B$15+H3*'Multiple Regression Outputs'!$B$16+I3*'Multiple Regression Outputs'!$B$17+J3*'Multiple Regression Outputs'!$B$18+K3*'Multiple Regression Outputs'!$B$19+L3*'Multiple Regression Outputs'!$B$20+M3*'Multiple Regression Outputs'!$B$21+N3*'Multiple Regression Outputs'!$B$22+O3*'Multiple Regression Outputs'!$B$23+P3*'Multiple Regression Outputs'!$B$24+Q3*'Multiple Regression Outputs'!$B$25+R3*'Multiple Regression Outputs'!$B$26+S3*'Multiple Regression Outputs'!$B$27+T3*'Multiple Regression Outputs'!$B$28</f>
        <v>679078.07468815648</v>
      </c>
      <c r="V3" s="2">
        <f t="shared" si="0"/>
        <v>-44642.074688156485</v>
      </c>
      <c r="X3" t="s">
        <v>83</v>
      </c>
      <c r="Y3" t="s">
        <v>18</v>
      </c>
      <c r="Z3" t="s">
        <v>16</v>
      </c>
      <c r="AA3" t="s">
        <v>22</v>
      </c>
      <c r="AB3">
        <v>870937.4</v>
      </c>
      <c r="AC3">
        <v>759919.93939551082</v>
      </c>
      <c r="AD3">
        <v>111017.4606044892</v>
      </c>
    </row>
    <row r="4" spans="1:30" ht="15" customHeight="1">
      <c r="A4" s="2">
        <v>3</v>
      </c>
      <c r="B4" s="2" t="s">
        <v>14</v>
      </c>
      <c r="C4" s="2" t="s">
        <v>19</v>
      </c>
      <c r="D4" s="2" t="s">
        <v>16</v>
      </c>
      <c r="E4" s="2" t="s">
        <v>17</v>
      </c>
      <c r="F4" s="2">
        <v>678722.06</v>
      </c>
      <c r="G4" s="2">
        <v>59921.75</v>
      </c>
      <c r="H4" s="2">
        <v>9113</v>
      </c>
      <c r="I4" s="2">
        <v>0.13300000000000001</v>
      </c>
      <c r="J4" s="2">
        <v>20</v>
      </c>
      <c r="K4" s="2">
        <v>88</v>
      </c>
      <c r="L4" s="2">
        <v>12</v>
      </c>
      <c r="M4" s="2">
        <v>0</v>
      </c>
      <c r="N4" s="2">
        <v>3.2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f>'Multiple Regression Outputs'!$B$14+G4*'Multiple Regression Outputs'!$B$15+H4*'Multiple Regression Outputs'!$B$16+I4*'Multiple Regression Outputs'!$B$17+J4*'Multiple Regression Outputs'!$B$18+K4*'Multiple Regression Outputs'!$B$19+L4*'Multiple Regression Outputs'!$B$20+M4*'Multiple Regression Outputs'!$B$21+N4*'Multiple Regression Outputs'!$B$22+O4*'Multiple Regression Outputs'!$B$23+P4*'Multiple Regression Outputs'!$B$24+Q4*'Multiple Regression Outputs'!$B$25+R4*'Multiple Regression Outputs'!$B$26+S4*'Multiple Regression Outputs'!$B$27+T4*'Multiple Regression Outputs'!$B$28</f>
        <v>696169.95684235671</v>
      </c>
      <c r="V4" s="2">
        <f t="shared" si="0"/>
        <v>-17447.896842356655</v>
      </c>
      <c r="X4" t="s">
        <v>53</v>
      </c>
      <c r="Y4" t="s">
        <v>20</v>
      </c>
      <c r="Z4" t="s">
        <v>16</v>
      </c>
      <c r="AA4" t="s">
        <v>32</v>
      </c>
      <c r="AB4">
        <v>713611.16</v>
      </c>
      <c r="AC4">
        <v>610531.95149896434</v>
      </c>
      <c r="AD4">
        <v>103079.2085010357</v>
      </c>
    </row>
    <row r="5" spans="1:30" ht="15" customHeight="1">
      <c r="A5" s="2">
        <v>4</v>
      </c>
      <c r="B5" s="2" t="s">
        <v>14</v>
      </c>
      <c r="C5" s="2" t="s">
        <v>20</v>
      </c>
      <c r="D5" s="2" t="s">
        <v>16</v>
      </c>
      <c r="E5" s="2" t="s">
        <v>17</v>
      </c>
      <c r="F5" s="2">
        <v>658920.30000000005</v>
      </c>
      <c r="G5" s="2">
        <v>56856.63</v>
      </c>
      <c r="H5" s="2">
        <v>9431</v>
      </c>
      <c r="I5" s="2">
        <v>0.14199999999999999</v>
      </c>
      <c r="J5" s="2">
        <v>23</v>
      </c>
      <c r="K5" s="2">
        <v>86.9</v>
      </c>
      <c r="L5" s="2">
        <v>4.97</v>
      </c>
      <c r="M5" s="2">
        <v>0</v>
      </c>
      <c r="N5" s="2">
        <v>3.4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f>'Multiple Regression Outputs'!$B$14+G5*'Multiple Regression Outputs'!$B$15+H5*'Multiple Regression Outputs'!$B$16+I5*'Multiple Regression Outputs'!$B$17+J5*'Multiple Regression Outputs'!$B$18+K5*'Multiple Regression Outputs'!$B$19+L5*'Multiple Regression Outputs'!$B$20+M5*'Multiple Regression Outputs'!$B$21+N5*'Multiple Regression Outputs'!$B$22+O5*'Multiple Regression Outputs'!$B$23+P5*'Multiple Regression Outputs'!$B$24+Q5*'Multiple Regression Outputs'!$B$25+R5*'Multiple Regression Outputs'!$B$26+S5*'Multiple Regression Outputs'!$B$27+T5*'Multiple Regression Outputs'!$B$28</f>
        <v>734611.65948172077</v>
      </c>
      <c r="V5" s="2">
        <f t="shared" si="0"/>
        <v>-75691.359481720719</v>
      </c>
      <c r="X5" t="s">
        <v>98</v>
      </c>
      <c r="Y5" t="s">
        <v>19</v>
      </c>
      <c r="Z5" t="s">
        <v>16</v>
      </c>
      <c r="AA5" t="s">
        <v>17</v>
      </c>
      <c r="AB5">
        <v>813316.71</v>
      </c>
      <c r="AC5">
        <v>721415.9199268485</v>
      </c>
      <c r="AD5">
        <v>91900.790073151467</v>
      </c>
    </row>
    <row r="6" spans="1:30" ht="15" customHeight="1">
      <c r="A6" s="2">
        <v>5</v>
      </c>
      <c r="B6" s="2" t="s">
        <v>21</v>
      </c>
      <c r="C6" s="2" t="s">
        <v>15</v>
      </c>
      <c r="D6" s="2" t="s">
        <v>16</v>
      </c>
      <c r="E6" s="2" t="s">
        <v>22</v>
      </c>
      <c r="F6" s="2">
        <v>741341.44</v>
      </c>
      <c r="G6" s="2">
        <v>48412.639999999999</v>
      </c>
      <c r="H6" s="2">
        <v>9545</v>
      </c>
      <c r="I6" s="2">
        <v>0.23100000000000001</v>
      </c>
      <c r="J6" s="2">
        <v>21</v>
      </c>
      <c r="K6" s="2">
        <v>97.6</v>
      </c>
      <c r="L6" s="2">
        <v>6.94</v>
      </c>
      <c r="M6" s="2">
        <v>1</v>
      </c>
      <c r="N6" s="2">
        <v>4.2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f>'Multiple Regression Outputs'!$B$14+G6*'Multiple Regression Outputs'!$B$15+H6*'Multiple Regression Outputs'!$B$16+I6*'Multiple Regression Outputs'!$B$17+J6*'Multiple Regression Outputs'!$B$18+K6*'Multiple Regression Outputs'!$B$19+L6*'Multiple Regression Outputs'!$B$20+M6*'Multiple Regression Outputs'!$B$21+N6*'Multiple Regression Outputs'!$B$22+O6*'Multiple Regression Outputs'!$B$23+P6*'Multiple Regression Outputs'!$B$24+Q6*'Multiple Regression Outputs'!$B$25+R6*'Multiple Regression Outputs'!$B$26+S6*'Multiple Regression Outputs'!$B$27+T6*'Multiple Regression Outputs'!$B$28</f>
        <v>788200.61590173445</v>
      </c>
      <c r="V6" s="2">
        <f t="shared" si="0"/>
        <v>-46859.175901734503</v>
      </c>
      <c r="X6" t="s">
        <v>76</v>
      </c>
      <c r="Y6" t="s">
        <v>18</v>
      </c>
      <c r="Z6" t="s">
        <v>16</v>
      </c>
      <c r="AA6" t="s">
        <v>25</v>
      </c>
      <c r="AB6">
        <v>787715.51</v>
      </c>
      <c r="AC6">
        <v>701381.33655926306</v>
      </c>
      <c r="AD6">
        <v>86334.173440736951</v>
      </c>
    </row>
    <row r="7" spans="1:30" ht="15" customHeight="1">
      <c r="A7" s="2">
        <v>6</v>
      </c>
      <c r="B7" s="2" t="s">
        <v>21</v>
      </c>
      <c r="C7" s="2" t="s">
        <v>18</v>
      </c>
      <c r="D7" s="2" t="s">
        <v>16</v>
      </c>
      <c r="E7" s="2" t="s">
        <v>22</v>
      </c>
      <c r="F7" s="2">
        <v>761835.34</v>
      </c>
      <c r="G7" s="2">
        <v>64811.21</v>
      </c>
      <c r="H7" s="2">
        <v>9792</v>
      </c>
      <c r="I7" s="2">
        <v>0.112</v>
      </c>
      <c r="J7" s="2">
        <v>20</v>
      </c>
      <c r="K7" s="2">
        <v>84.2</v>
      </c>
      <c r="L7" s="2">
        <v>2.88</v>
      </c>
      <c r="M7" s="2">
        <v>0</v>
      </c>
      <c r="N7" s="2">
        <v>4.2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f>'Multiple Regression Outputs'!$B$14+G7*'Multiple Regression Outputs'!$B$15+H7*'Multiple Regression Outputs'!$B$16+I7*'Multiple Regression Outputs'!$B$17+J7*'Multiple Regression Outputs'!$B$18+K7*'Multiple Regression Outputs'!$B$19+L7*'Multiple Regression Outputs'!$B$20+M7*'Multiple Regression Outputs'!$B$21+N7*'Multiple Regression Outputs'!$B$22+O7*'Multiple Regression Outputs'!$B$23+P7*'Multiple Regression Outputs'!$B$24+Q7*'Multiple Regression Outputs'!$B$25+R7*'Multiple Regression Outputs'!$B$26+S7*'Multiple Regression Outputs'!$B$27+T7*'Multiple Regression Outputs'!$B$28</f>
        <v>773961.10164909402</v>
      </c>
      <c r="V7" s="2">
        <f t="shared" si="0"/>
        <v>-12125.761649094056</v>
      </c>
      <c r="X7" t="s">
        <v>51</v>
      </c>
      <c r="Y7" t="s">
        <v>20</v>
      </c>
      <c r="Z7" t="s">
        <v>16</v>
      </c>
      <c r="AA7" t="s">
        <v>32</v>
      </c>
      <c r="AB7">
        <v>625514.04</v>
      </c>
      <c r="AC7">
        <v>540234.62124624918</v>
      </c>
      <c r="AD7">
        <v>85279.418753750855</v>
      </c>
    </row>
    <row r="8" spans="1:30" ht="15" customHeight="1">
      <c r="A8" s="2">
        <v>7</v>
      </c>
      <c r="B8" s="2" t="s">
        <v>21</v>
      </c>
      <c r="C8" s="2" t="s">
        <v>19</v>
      </c>
      <c r="D8" s="2" t="s">
        <v>16</v>
      </c>
      <c r="E8" s="2" t="s">
        <v>22</v>
      </c>
      <c r="F8" s="2">
        <v>806615.54</v>
      </c>
      <c r="G8" s="2">
        <v>46213.45</v>
      </c>
      <c r="H8" s="2">
        <v>10616</v>
      </c>
      <c r="I8" s="2">
        <v>0.122</v>
      </c>
      <c r="J8" s="2">
        <v>22</v>
      </c>
      <c r="K8" s="2">
        <v>85.2</v>
      </c>
      <c r="L8" s="2">
        <v>0.2</v>
      </c>
      <c r="M8" s="2">
        <v>1</v>
      </c>
      <c r="N8" s="2">
        <v>4.0999999999999996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f>'Multiple Regression Outputs'!$B$14+G8*'Multiple Regression Outputs'!$B$15+H8*'Multiple Regression Outputs'!$B$16+I8*'Multiple Regression Outputs'!$B$17+J8*'Multiple Regression Outputs'!$B$18+K8*'Multiple Regression Outputs'!$B$19+L8*'Multiple Regression Outputs'!$B$20+M8*'Multiple Regression Outputs'!$B$21+N8*'Multiple Regression Outputs'!$B$22+O8*'Multiple Regression Outputs'!$B$23+P8*'Multiple Regression Outputs'!$B$24+Q8*'Multiple Regression Outputs'!$B$25+R8*'Multiple Regression Outputs'!$B$26+S8*'Multiple Regression Outputs'!$B$27+T8*'Multiple Regression Outputs'!$B$28</f>
        <v>806771.21393998433</v>
      </c>
      <c r="V8" s="2">
        <f t="shared" si="0"/>
        <v>-155.67393998429179</v>
      </c>
    </row>
    <row r="9" spans="1:30" ht="15" customHeight="1">
      <c r="A9" s="2">
        <v>8</v>
      </c>
      <c r="B9" s="2" t="s">
        <v>21</v>
      </c>
      <c r="C9" s="2" t="s">
        <v>20</v>
      </c>
      <c r="D9" s="2" t="s">
        <v>16</v>
      </c>
      <c r="E9" s="2" t="s">
        <v>22</v>
      </c>
      <c r="F9" s="2">
        <v>850164.26</v>
      </c>
      <c r="G9" s="2">
        <v>68148.52</v>
      </c>
      <c r="H9" s="2">
        <v>8567</v>
      </c>
      <c r="I9" s="2">
        <v>0.127</v>
      </c>
      <c r="J9" s="2">
        <v>23</v>
      </c>
      <c r="K9" s="2">
        <v>95.6</v>
      </c>
      <c r="L9" s="2">
        <v>0.8</v>
      </c>
      <c r="M9" s="2">
        <v>0</v>
      </c>
      <c r="N9" s="2">
        <v>3.9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f>'Multiple Regression Outputs'!$B$14+G9*'Multiple Regression Outputs'!$B$15+H9*'Multiple Regression Outputs'!$B$16+I9*'Multiple Regression Outputs'!$B$17+J9*'Multiple Regression Outputs'!$B$18+K9*'Multiple Regression Outputs'!$B$19+L9*'Multiple Regression Outputs'!$B$20+M9*'Multiple Regression Outputs'!$B$21+N9*'Multiple Regression Outputs'!$B$22+O9*'Multiple Regression Outputs'!$B$23+P9*'Multiple Regression Outputs'!$B$24+Q9*'Multiple Regression Outputs'!$B$25+R9*'Multiple Regression Outputs'!$B$26+S9*'Multiple Regression Outputs'!$B$27+T9*'Multiple Regression Outputs'!$B$28</f>
        <v>792726.34303029289</v>
      </c>
      <c r="V9" s="2">
        <f t="shared" si="0"/>
        <v>57437.916969707119</v>
      </c>
      <c r="X9" s="20" t="s">
        <v>211</v>
      </c>
      <c r="Y9" s="20"/>
      <c r="Z9" s="20"/>
      <c r="AA9" s="20"/>
      <c r="AB9" s="20"/>
      <c r="AC9" s="20"/>
      <c r="AD9" s="20"/>
    </row>
    <row r="10" spans="1:30" ht="15" customHeight="1">
      <c r="A10" s="2">
        <v>9</v>
      </c>
      <c r="B10" s="2" t="s">
        <v>23</v>
      </c>
      <c r="C10" s="2" t="s">
        <v>15</v>
      </c>
      <c r="D10" s="2" t="s">
        <v>24</v>
      </c>
      <c r="E10" s="2" t="s">
        <v>25</v>
      </c>
      <c r="F10" s="2">
        <v>930581.7</v>
      </c>
      <c r="G10" s="2">
        <v>71838.86</v>
      </c>
      <c r="H10" s="2">
        <v>10979</v>
      </c>
      <c r="I10" s="2">
        <v>0.215</v>
      </c>
      <c r="J10" s="2">
        <v>26</v>
      </c>
      <c r="K10" s="2">
        <v>88.6</v>
      </c>
      <c r="L10" s="2">
        <v>7.7</v>
      </c>
      <c r="M10" s="2">
        <v>1</v>
      </c>
      <c r="N10" s="2">
        <v>3.8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f>'Multiple Regression Outputs'!$B$14+G10*'Multiple Regression Outputs'!$B$15+H10*'Multiple Regression Outputs'!$B$16+I10*'Multiple Regression Outputs'!$B$17+J10*'Multiple Regression Outputs'!$B$18+K10*'Multiple Regression Outputs'!$B$19+L10*'Multiple Regression Outputs'!$B$20+M10*'Multiple Regression Outputs'!$B$21+N10*'Multiple Regression Outputs'!$B$22+O10*'Multiple Regression Outputs'!$B$23+P10*'Multiple Regression Outputs'!$B$24+Q10*'Multiple Regression Outputs'!$B$25+R10*'Multiple Regression Outputs'!$B$26+S10*'Multiple Regression Outputs'!$B$27+T10*'Multiple Regression Outputs'!$B$28</f>
        <v>873194.56682727963</v>
      </c>
      <c r="V10" s="2">
        <f t="shared" si="0"/>
        <v>57387.133172720321</v>
      </c>
      <c r="X10" s="1" t="s">
        <v>0</v>
      </c>
      <c r="Y10" s="1" t="s">
        <v>1</v>
      </c>
      <c r="Z10" s="1" t="s">
        <v>2</v>
      </c>
      <c r="AA10" s="1" t="s">
        <v>3</v>
      </c>
      <c r="AB10" s="1" t="s">
        <v>210</v>
      </c>
      <c r="AC10" s="1" t="s">
        <v>207</v>
      </c>
      <c r="AD10" s="1" t="s">
        <v>208</v>
      </c>
    </row>
    <row r="11" spans="1:30" ht="15" customHeight="1">
      <c r="A11" s="2">
        <v>10</v>
      </c>
      <c r="B11" s="2" t="s">
        <v>23</v>
      </c>
      <c r="C11" s="2" t="s">
        <v>18</v>
      </c>
      <c r="D11" s="2" t="s">
        <v>24</v>
      </c>
      <c r="E11" s="2" t="s">
        <v>25</v>
      </c>
      <c r="F11" s="2">
        <v>779010.94</v>
      </c>
      <c r="G11" s="2">
        <v>68133.440000000002</v>
      </c>
      <c r="H11" s="2">
        <v>9459</v>
      </c>
      <c r="I11" s="2">
        <v>0.22</v>
      </c>
      <c r="J11" s="2">
        <v>21</v>
      </c>
      <c r="K11" s="2">
        <v>85</v>
      </c>
      <c r="L11" s="2">
        <v>1.91</v>
      </c>
      <c r="M11" s="2">
        <v>0</v>
      </c>
      <c r="N11" s="2">
        <v>4.2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f>'Multiple Regression Outputs'!$B$14+G11*'Multiple Regression Outputs'!$B$15+H11*'Multiple Regression Outputs'!$B$16+I11*'Multiple Regression Outputs'!$B$17+J11*'Multiple Regression Outputs'!$B$18+K11*'Multiple Regression Outputs'!$B$19+L11*'Multiple Regression Outputs'!$B$20+M11*'Multiple Regression Outputs'!$B$21+N11*'Multiple Regression Outputs'!$B$22+O11*'Multiple Regression Outputs'!$B$23+P11*'Multiple Regression Outputs'!$B$24+Q11*'Multiple Regression Outputs'!$B$25+R11*'Multiple Regression Outputs'!$B$26+S11*'Multiple Regression Outputs'!$B$27+T11*'Multiple Regression Outputs'!$B$28</f>
        <v>808141.23092656524</v>
      </c>
      <c r="V11" s="2">
        <f t="shared" si="0"/>
        <v>-29130.2909265653</v>
      </c>
      <c r="X11" t="s">
        <v>48</v>
      </c>
      <c r="Y11" t="s">
        <v>18</v>
      </c>
      <c r="Z11" t="s">
        <v>28</v>
      </c>
      <c r="AA11" t="s">
        <v>32</v>
      </c>
      <c r="AB11">
        <v>627171.9</v>
      </c>
      <c r="AC11">
        <v>764038.7109117721</v>
      </c>
      <c r="AD11">
        <v>-136866.81091177207</v>
      </c>
    </row>
    <row r="12" spans="1:30" ht="15" customHeight="1">
      <c r="A12" s="2">
        <v>11</v>
      </c>
      <c r="B12" s="2" t="s">
        <v>23</v>
      </c>
      <c r="C12" s="2" t="s">
        <v>19</v>
      </c>
      <c r="D12" s="2" t="s">
        <v>24</v>
      </c>
      <c r="E12" s="2" t="s">
        <v>25</v>
      </c>
      <c r="F12" s="2">
        <v>723060.76</v>
      </c>
      <c r="G12" s="2">
        <v>34285.21</v>
      </c>
      <c r="H12" s="2">
        <v>9172</v>
      </c>
      <c r="I12" s="2">
        <v>0.21299999999999999</v>
      </c>
      <c r="J12" s="2">
        <v>22</v>
      </c>
      <c r="K12" s="2">
        <v>88.3</v>
      </c>
      <c r="L12" s="2">
        <v>10.46</v>
      </c>
      <c r="M12" s="2">
        <v>1</v>
      </c>
      <c r="N12" s="2">
        <v>3.8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f>'Multiple Regression Outputs'!$B$14+G12*'Multiple Regression Outputs'!$B$15+H12*'Multiple Regression Outputs'!$B$16+I12*'Multiple Regression Outputs'!$B$17+J12*'Multiple Regression Outputs'!$B$18+K12*'Multiple Regression Outputs'!$B$19+L12*'Multiple Regression Outputs'!$B$20+M12*'Multiple Regression Outputs'!$B$21+N12*'Multiple Regression Outputs'!$B$22+O12*'Multiple Regression Outputs'!$B$23+P12*'Multiple Regression Outputs'!$B$24+Q12*'Multiple Regression Outputs'!$B$25+R12*'Multiple Regression Outputs'!$B$26+S12*'Multiple Regression Outputs'!$B$27+T12*'Multiple Regression Outputs'!$B$28</f>
        <v>754001.8804054379</v>
      </c>
      <c r="V12" s="2">
        <f t="shared" si="0"/>
        <v>-30941.12040543789</v>
      </c>
      <c r="X12" t="s">
        <v>42</v>
      </c>
      <c r="Y12" t="s">
        <v>19</v>
      </c>
      <c r="Z12" t="s">
        <v>31</v>
      </c>
      <c r="AA12" t="s">
        <v>22</v>
      </c>
      <c r="AB12">
        <v>685379.08</v>
      </c>
      <c r="AC12">
        <v>805279.85124378791</v>
      </c>
      <c r="AD12">
        <v>-119900.77124378795</v>
      </c>
    </row>
    <row r="13" spans="1:30" ht="15" customHeight="1">
      <c r="A13" s="2">
        <v>12</v>
      </c>
      <c r="B13" s="2" t="s">
        <v>23</v>
      </c>
      <c r="C13" s="2" t="s">
        <v>20</v>
      </c>
      <c r="D13" s="2" t="s">
        <v>24</v>
      </c>
      <c r="E13" s="2" t="s">
        <v>25</v>
      </c>
      <c r="F13" s="2">
        <v>910791.94</v>
      </c>
      <c r="G13" s="2">
        <v>67979.88</v>
      </c>
      <c r="H13" s="2">
        <v>11230</v>
      </c>
      <c r="I13" s="2">
        <v>2E-3</v>
      </c>
      <c r="J13" s="2">
        <v>28</v>
      </c>
      <c r="K13" s="2">
        <v>85.3</v>
      </c>
      <c r="L13" s="2">
        <v>7.16</v>
      </c>
      <c r="M13" s="2">
        <v>0</v>
      </c>
      <c r="N13" s="2">
        <v>3.8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f>'Multiple Regression Outputs'!$B$14+G13*'Multiple Regression Outputs'!$B$15+H13*'Multiple Regression Outputs'!$B$16+I13*'Multiple Regression Outputs'!$B$17+J13*'Multiple Regression Outputs'!$B$18+K13*'Multiple Regression Outputs'!$B$19+L13*'Multiple Regression Outputs'!$B$20+M13*'Multiple Regression Outputs'!$B$21+N13*'Multiple Regression Outputs'!$B$22+O13*'Multiple Regression Outputs'!$B$23+P13*'Multiple Regression Outputs'!$B$24+Q13*'Multiple Regression Outputs'!$B$25+R13*'Multiple Regression Outputs'!$B$26+S13*'Multiple Regression Outputs'!$B$27+T13*'Multiple Regression Outputs'!$B$28</f>
        <v>867782.44794944942</v>
      </c>
      <c r="V13" s="2">
        <f t="shared" si="0"/>
        <v>43009.492050550529</v>
      </c>
      <c r="X13" t="s">
        <v>37</v>
      </c>
      <c r="Y13" t="s">
        <v>15</v>
      </c>
      <c r="Z13" t="s">
        <v>31</v>
      </c>
      <c r="AA13" t="s">
        <v>17</v>
      </c>
      <c r="AB13">
        <v>595467.6</v>
      </c>
      <c r="AC13">
        <v>709913.7755063863</v>
      </c>
      <c r="AD13">
        <v>-114446.17550638632</v>
      </c>
    </row>
    <row r="14" spans="1:30" ht="15" customHeight="1">
      <c r="A14" s="2">
        <v>13</v>
      </c>
      <c r="B14" s="2" t="s">
        <v>26</v>
      </c>
      <c r="C14" s="2" t="s">
        <v>15</v>
      </c>
      <c r="D14" s="2" t="s">
        <v>16</v>
      </c>
      <c r="E14" s="2" t="s">
        <v>17</v>
      </c>
      <c r="F14" s="2">
        <v>922168.6</v>
      </c>
      <c r="G14" s="2">
        <v>71828.259999999995</v>
      </c>
      <c r="H14" s="2">
        <v>12775</v>
      </c>
      <c r="I14" s="2">
        <v>0.11600000000000001</v>
      </c>
      <c r="J14" s="2">
        <v>30</v>
      </c>
      <c r="K14" s="2">
        <v>81.7</v>
      </c>
      <c r="L14" s="2">
        <v>4.24</v>
      </c>
      <c r="M14" s="2">
        <v>1</v>
      </c>
      <c r="N14" s="2">
        <v>4.2</v>
      </c>
      <c r="O14" s="2">
        <v>0</v>
      </c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f>'Multiple Regression Outputs'!$B$14+G14*'Multiple Regression Outputs'!$B$15+H14*'Multiple Regression Outputs'!$B$16+I14*'Multiple Regression Outputs'!$B$17+J14*'Multiple Regression Outputs'!$B$18+K14*'Multiple Regression Outputs'!$B$19+L14*'Multiple Regression Outputs'!$B$20+M14*'Multiple Regression Outputs'!$B$21+N14*'Multiple Regression Outputs'!$B$22+O14*'Multiple Regression Outputs'!$B$23+P14*'Multiple Regression Outputs'!$B$24+Q14*'Multiple Regression Outputs'!$B$25+R14*'Multiple Regression Outputs'!$B$26+S14*'Multiple Regression Outputs'!$B$27+T14*'Multiple Regression Outputs'!$B$28</f>
        <v>881520.79428463441</v>
      </c>
      <c r="V14" s="2">
        <f t="shared" si="0"/>
        <v>40647.805715365568</v>
      </c>
      <c r="X14" t="s">
        <v>30</v>
      </c>
      <c r="Y14" t="s">
        <v>18</v>
      </c>
      <c r="Z14" t="s">
        <v>31</v>
      </c>
      <c r="AA14" t="s">
        <v>32</v>
      </c>
      <c r="AB14">
        <v>800451.94</v>
      </c>
      <c r="AC14">
        <v>912344.87044931098</v>
      </c>
      <c r="AD14">
        <v>-111892.93044931104</v>
      </c>
    </row>
    <row r="15" spans="1:30" ht="15" customHeight="1">
      <c r="A15" s="2">
        <v>14</v>
      </c>
      <c r="B15" s="2" t="s">
        <v>26</v>
      </c>
      <c r="C15" s="2" t="s">
        <v>18</v>
      </c>
      <c r="D15" s="2" t="s">
        <v>16</v>
      </c>
      <c r="E15" s="2" t="s">
        <v>17</v>
      </c>
      <c r="F15" s="2">
        <v>726606.28</v>
      </c>
      <c r="G15" s="2">
        <v>55716.82</v>
      </c>
      <c r="H15" s="2">
        <v>10054</v>
      </c>
      <c r="I15" s="2">
        <v>0.14599999999999999</v>
      </c>
      <c r="J15" s="2">
        <v>24</v>
      </c>
      <c r="K15" s="2">
        <v>84.9</v>
      </c>
      <c r="L15" s="2">
        <v>1.06</v>
      </c>
      <c r="M15" s="2">
        <v>0</v>
      </c>
      <c r="N15" s="2">
        <v>4.3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f>'Multiple Regression Outputs'!$B$14+G15*'Multiple Regression Outputs'!$B$15+H15*'Multiple Regression Outputs'!$B$16+I15*'Multiple Regression Outputs'!$B$17+J15*'Multiple Regression Outputs'!$B$18+K15*'Multiple Regression Outputs'!$B$19+L15*'Multiple Regression Outputs'!$B$20+M15*'Multiple Regression Outputs'!$B$21+N15*'Multiple Regression Outputs'!$B$22+O15*'Multiple Regression Outputs'!$B$23+P15*'Multiple Regression Outputs'!$B$24+Q15*'Multiple Regression Outputs'!$B$25+R15*'Multiple Regression Outputs'!$B$26+S15*'Multiple Regression Outputs'!$B$27+T15*'Multiple Regression Outputs'!$B$28</f>
        <v>772183.5433588631</v>
      </c>
      <c r="V15" s="2">
        <f t="shared" si="0"/>
        <v>-45577.263358863071</v>
      </c>
      <c r="X15" t="s">
        <v>85</v>
      </c>
      <c r="Y15" t="s">
        <v>15</v>
      </c>
      <c r="Z15" t="s">
        <v>31</v>
      </c>
      <c r="AA15" t="s">
        <v>32</v>
      </c>
      <c r="AB15">
        <v>721079.35</v>
      </c>
      <c r="AC15">
        <v>808021.70934979559</v>
      </c>
      <c r="AD15">
        <v>-86942.359349795617</v>
      </c>
    </row>
    <row r="16" spans="1:30" ht="15" customHeight="1">
      <c r="A16" s="2">
        <v>15</v>
      </c>
      <c r="B16" s="2" t="s">
        <v>26</v>
      </c>
      <c r="C16" s="2" t="s">
        <v>19</v>
      </c>
      <c r="D16" s="2" t="s">
        <v>16</v>
      </c>
      <c r="E16" s="2" t="s">
        <v>17</v>
      </c>
      <c r="F16" s="2">
        <v>746501.09</v>
      </c>
      <c r="G16" s="2">
        <v>59909.51</v>
      </c>
      <c r="H16" s="2">
        <v>8895</v>
      </c>
      <c r="I16" s="2">
        <v>0.22800000000000001</v>
      </c>
      <c r="J16" s="2">
        <v>23</v>
      </c>
      <c r="K16" s="2">
        <v>88.8</v>
      </c>
      <c r="L16" s="2">
        <v>0.27</v>
      </c>
      <c r="M16" s="2">
        <v>0</v>
      </c>
      <c r="N16" s="2">
        <v>4.3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f>'Multiple Regression Outputs'!$B$14+G16*'Multiple Regression Outputs'!$B$15+H16*'Multiple Regression Outputs'!$B$16+I16*'Multiple Regression Outputs'!$B$17+J16*'Multiple Regression Outputs'!$B$18+K16*'Multiple Regression Outputs'!$B$19+L16*'Multiple Regression Outputs'!$B$20+M16*'Multiple Regression Outputs'!$B$21+N16*'Multiple Regression Outputs'!$B$22+O16*'Multiple Regression Outputs'!$B$23+P16*'Multiple Regression Outputs'!$B$24+Q16*'Multiple Regression Outputs'!$B$25+R16*'Multiple Regression Outputs'!$B$26+S16*'Multiple Regression Outputs'!$B$27+T16*'Multiple Regression Outputs'!$B$28</f>
        <v>753342.13665185077</v>
      </c>
      <c r="V16" s="2">
        <f t="shared" si="0"/>
        <v>-6841.0466518508038</v>
      </c>
    </row>
    <row r="17" spans="1:22" ht="15" customHeight="1">
      <c r="A17" s="2">
        <v>16</v>
      </c>
      <c r="B17" s="2" t="s">
        <v>26</v>
      </c>
      <c r="C17" s="2" t="s">
        <v>20</v>
      </c>
      <c r="D17" s="2" t="s">
        <v>16</v>
      </c>
      <c r="E17" s="2" t="s">
        <v>17</v>
      </c>
      <c r="F17" s="2">
        <v>834017.02</v>
      </c>
      <c r="G17" s="2">
        <v>75305.710000000006</v>
      </c>
      <c r="H17" s="2">
        <v>10940</v>
      </c>
      <c r="I17" s="2">
        <v>6.0000000000000001E-3</v>
      </c>
      <c r="J17" s="2">
        <v>26</v>
      </c>
      <c r="K17" s="2">
        <v>76.5</v>
      </c>
      <c r="L17" s="2">
        <v>1.32</v>
      </c>
      <c r="M17" s="2">
        <v>0</v>
      </c>
      <c r="N17" s="2">
        <v>4.5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f>'Multiple Regression Outputs'!$B$14+G17*'Multiple Regression Outputs'!$B$15+H17*'Multiple Regression Outputs'!$B$16+I17*'Multiple Regression Outputs'!$B$17+J17*'Multiple Regression Outputs'!$B$18+K17*'Multiple Regression Outputs'!$B$19+L17*'Multiple Regression Outputs'!$B$20+M17*'Multiple Regression Outputs'!$B$21+N17*'Multiple Regression Outputs'!$B$22+O17*'Multiple Regression Outputs'!$B$23+P17*'Multiple Regression Outputs'!$B$24+Q17*'Multiple Regression Outputs'!$B$25+R17*'Multiple Regression Outputs'!$B$26+S17*'Multiple Regression Outputs'!$B$27+T17*'Multiple Regression Outputs'!$B$28</f>
        <v>808780.82507397246</v>
      </c>
      <c r="V17" s="2">
        <f t="shared" si="0"/>
        <v>25236.194926027558</v>
      </c>
    </row>
    <row r="18" spans="1:22" ht="15" customHeight="1">
      <c r="A18" s="2">
        <v>17</v>
      </c>
      <c r="B18" s="2" t="s">
        <v>27</v>
      </c>
      <c r="C18" s="2" t="s">
        <v>15</v>
      </c>
      <c r="D18" s="2" t="s">
        <v>28</v>
      </c>
      <c r="E18" s="2" t="s">
        <v>17</v>
      </c>
      <c r="F18" s="2">
        <v>666152.52</v>
      </c>
      <c r="G18" s="2">
        <v>48804.22</v>
      </c>
      <c r="H18" s="2">
        <v>7057</v>
      </c>
      <c r="I18" s="2">
        <v>5.0000000000000001E-3</v>
      </c>
      <c r="J18" s="2">
        <v>15</v>
      </c>
      <c r="K18" s="2">
        <v>87.7</v>
      </c>
      <c r="L18" s="2">
        <v>1.22</v>
      </c>
      <c r="M18" s="2">
        <v>0</v>
      </c>
      <c r="N18" s="2">
        <v>3.7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f>'Multiple Regression Outputs'!$B$14+G18*'Multiple Regression Outputs'!$B$15+H18*'Multiple Regression Outputs'!$B$16+I18*'Multiple Regression Outputs'!$B$17+J18*'Multiple Regression Outputs'!$B$18+K18*'Multiple Regression Outputs'!$B$19+L18*'Multiple Regression Outputs'!$B$20+M18*'Multiple Regression Outputs'!$B$21+N18*'Multiple Regression Outputs'!$B$22+O18*'Multiple Regression Outputs'!$B$23+P18*'Multiple Regression Outputs'!$B$24+Q18*'Multiple Regression Outputs'!$B$25+R18*'Multiple Regression Outputs'!$B$26+S18*'Multiple Regression Outputs'!$B$27+T18*'Multiple Regression Outputs'!$B$28</f>
        <v>677740.88775832288</v>
      </c>
      <c r="V18" s="2">
        <f t="shared" si="0"/>
        <v>-11588.367758322856</v>
      </c>
    </row>
    <row r="19" spans="1:22" ht="15" customHeight="1">
      <c r="A19" s="2">
        <v>18</v>
      </c>
      <c r="B19" s="2" t="s">
        <v>27</v>
      </c>
      <c r="C19" s="2" t="s">
        <v>18</v>
      </c>
      <c r="D19" s="2" t="s">
        <v>28</v>
      </c>
      <c r="E19" s="2" t="s">
        <v>17</v>
      </c>
      <c r="F19" s="2">
        <v>573155.18999999994</v>
      </c>
      <c r="G19" s="2">
        <v>59117.9</v>
      </c>
      <c r="H19" s="2">
        <v>4263</v>
      </c>
      <c r="I19" s="2">
        <v>0.11899999999999999</v>
      </c>
      <c r="J19" s="2">
        <v>9</v>
      </c>
      <c r="K19" s="2">
        <v>87.6</v>
      </c>
      <c r="L19" s="2">
        <v>4.01</v>
      </c>
      <c r="M19" s="2">
        <v>0</v>
      </c>
      <c r="N19" s="2">
        <v>3.6</v>
      </c>
      <c r="O19" s="2">
        <v>0</v>
      </c>
      <c r="P19" s="2">
        <v>0</v>
      </c>
      <c r="Q19" s="2">
        <v>1</v>
      </c>
      <c r="R19" s="2">
        <v>0</v>
      </c>
      <c r="S19" s="2">
        <v>1</v>
      </c>
      <c r="T19" s="2">
        <v>0</v>
      </c>
      <c r="U19" s="2">
        <f>'Multiple Regression Outputs'!$B$14+G19*'Multiple Regression Outputs'!$B$15+H19*'Multiple Regression Outputs'!$B$16+I19*'Multiple Regression Outputs'!$B$17+J19*'Multiple Regression Outputs'!$B$18+K19*'Multiple Regression Outputs'!$B$19+L19*'Multiple Regression Outputs'!$B$20+M19*'Multiple Regression Outputs'!$B$21+N19*'Multiple Regression Outputs'!$B$22+O19*'Multiple Regression Outputs'!$B$23+P19*'Multiple Regression Outputs'!$B$24+Q19*'Multiple Regression Outputs'!$B$25+R19*'Multiple Regression Outputs'!$B$26+S19*'Multiple Regression Outputs'!$B$27+T19*'Multiple Regression Outputs'!$B$28</f>
        <v>576940.77255697991</v>
      </c>
      <c r="V19" s="2">
        <f t="shared" si="0"/>
        <v>-3785.5825569799636</v>
      </c>
    </row>
    <row r="20" spans="1:22" ht="15" customHeight="1">
      <c r="A20" s="2">
        <v>19</v>
      </c>
      <c r="B20" s="2" t="s">
        <v>27</v>
      </c>
      <c r="C20" s="2" t="s">
        <v>19</v>
      </c>
      <c r="D20" s="2" t="s">
        <v>28</v>
      </c>
      <c r="E20" s="2" t="s">
        <v>17</v>
      </c>
      <c r="F20" s="2">
        <v>666573.19999999995</v>
      </c>
      <c r="G20" s="2">
        <v>78831.12</v>
      </c>
      <c r="H20" s="2">
        <v>5538</v>
      </c>
      <c r="I20" s="2">
        <v>0</v>
      </c>
      <c r="J20" s="2">
        <v>15</v>
      </c>
      <c r="K20" s="2">
        <v>94.1</v>
      </c>
      <c r="L20" s="2">
        <v>0.2</v>
      </c>
      <c r="M20" s="2">
        <v>0</v>
      </c>
      <c r="N20" s="2">
        <v>3.9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  <c r="T20" s="2">
        <v>0</v>
      </c>
      <c r="U20" s="2">
        <f>'Multiple Regression Outputs'!$B$14+G20*'Multiple Regression Outputs'!$B$15+H20*'Multiple Regression Outputs'!$B$16+I20*'Multiple Regression Outputs'!$B$17+J20*'Multiple Regression Outputs'!$B$18+K20*'Multiple Regression Outputs'!$B$19+L20*'Multiple Regression Outputs'!$B$20+M20*'Multiple Regression Outputs'!$B$21+N20*'Multiple Regression Outputs'!$B$22+O20*'Multiple Regression Outputs'!$B$23+P20*'Multiple Regression Outputs'!$B$24+Q20*'Multiple Regression Outputs'!$B$25+R20*'Multiple Regression Outputs'!$B$26+S20*'Multiple Regression Outputs'!$B$27+T20*'Multiple Regression Outputs'!$B$28</f>
        <v>698360.73357282218</v>
      </c>
      <c r="V20" s="2">
        <f t="shared" si="0"/>
        <v>-31787.533572822227</v>
      </c>
    </row>
    <row r="21" spans="1:22" ht="15" customHeight="1">
      <c r="A21" s="2">
        <v>20</v>
      </c>
      <c r="B21" s="2" t="s">
        <v>27</v>
      </c>
      <c r="C21" s="2" t="s">
        <v>20</v>
      </c>
      <c r="D21" s="2" t="s">
        <v>28</v>
      </c>
      <c r="E21" s="2" t="s">
        <v>17</v>
      </c>
      <c r="F21" s="2">
        <v>591619.94999999995</v>
      </c>
      <c r="G21" s="2">
        <v>41441.93</v>
      </c>
      <c r="H21" s="2">
        <v>4865</v>
      </c>
      <c r="I21" s="2">
        <v>0.158</v>
      </c>
      <c r="J21" s="2">
        <v>16</v>
      </c>
      <c r="K21" s="2">
        <v>88.3</v>
      </c>
      <c r="L21" s="2">
        <v>0.5</v>
      </c>
      <c r="M21" s="2">
        <v>0</v>
      </c>
      <c r="N21" s="2">
        <v>4</v>
      </c>
      <c r="O21" s="2">
        <v>0</v>
      </c>
      <c r="P21" s="2">
        <v>0</v>
      </c>
      <c r="Q21" s="2">
        <v>1</v>
      </c>
      <c r="R21" s="2">
        <v>0</v>
      </c>
      <c r="S21" s="2">
        <v>1</v>
      </c>
      <c r="T21" s="2">
        <v>0</v>
      </c>
      <c r="U21" s="2">
        <f>'Multiple Regression Outputs'!$B$14+G21*'Multiple Regression Outputs'!$B$15+H21*'Multiple Regression Outputs'!$B$16+I21*'Multiple Regression Outputs'!$B$17+J21*'Multiple Regression Outputs'!$B$18+K21*'Multiple Regression Outputs'!$B$19+L21*'Multiple Regression Outputs'!$B$20+M21*'Multiple Regression Outputs'!$B$21+N21*'Multiple Regression Outputs'!$B$22+O21*'Multiple Regression Outputs'!$B$23+P21*'Multiple Regression Outputs'!$B$24+Q21*'Multiple Regression Outputs'!$B$25+R21*'Multiple Regression Outputs'!$B$26+S21*'Multiple Regression Outputs'!$B$27+T21*'Multiple Regression Outputs'!$B$28</f>
        <v>614175.90393490216</v>
      </c>
      <c r="V21" s="2">
        <f t="shared" si="0"/>
        <v>-22555.953934902209</v>
      </c>
    </row>
    <row r="22" spans="1:22" ht="15" customHeight="1">
      <c r="A22" s="2">
        <v>21</v>
      </c>
      <c r="B22" s="2" t="s">
        <v>29</v>
      </c>
      <c r="C22" s="2" t="s">
        <v>15</v>
      </c>
      <c r="D22" s="2" t="s">
        <v>24</v>
      </c>
      <c r="E22" s="2" t="s">
        <v>17</v>
      </c>
      <c r="F22" s="2">
        <v>415721.82</v>
      </c>
      <c r="G22" s="2">
        <v>30356.28</v>
      </c>
      <c r="H22" s="2">
        <v>2822</v>
      </c>
      <c r="I22" s="2">
        <v>0.23100000000000001</v>
      </c>
      <c r="J22" s="2">
        <v>9</v>
      </c>
      <c r="K22" s="2">
        <v>84.8</v>
      </c>
      <c r="L22" s="2">
        <v>6.95</v>
      </c>
      <c r="M22" s="2">
        <v>0</v>
      </c>
      <c r="N22" s="2">
        <v>5</v>
      </c>
      <c r="O22" s="2">
        <v>0</v>
      </c>
      <c r="P22" s="2">
        <v>0</v>
      </c>
      <c r="Q22" s="2">
        <v>1</v>
      </c>
      <c r="R22" s="2">
        <v>1</v>
      </c>
      <c r="S22" s="2">
        <v>0</v>
      </c>
      <c r="T22" s="2">
        <v>0</v>
      </c>
      <c r="U22" s="2">
        <f>'Multiple Regression Outputs'!$B$14+G22*'Multiple Regression Outputs'!$B$15+H22*'Multiple Regression Outputs'!$B$16+I22*'Multiple Regression Outputs'!$B$17+J22*'Multiple Regression Outputs'!$B$18+K22*'Multiple Regression Outputs'!$B$19+L22*'Multiple Regression Outputs'!$B$20+M22*'Multiple Regression Outputs'!$B$21+N22*'Multiple Regression Outputs'!$B$22+O22*'Multiple Regression Outputs'!$B$23+P22*'Multiple Regression Outputs'!$B$24+Q22*'Multiple Regression Outputs'!$B$25+R22*'Multiple Regression Outputs'!$B$26+S22*'Multiple Regression Outputs'!$B$27+T22*'Multiple Regression Outputs'!$B$28</f>
        <v>485820.74732566433</v>
      </c>
      <c r="V22" s="2">
        <f t="shared" si="0"/>
        <v>-70098.927325664321</v>
      </c>
    </row>
    <row r="23" spans="1:22" ht="15" customHeight="1">
      <c r="A23" s="2">
        <v>22</v>
      </c>
      <c r="B23" s="2" t="s">
        <v>29</v>
      </c>
      <c r="C23" s="2" t="s">
        <v>18</v>
      </c>
      <c r="D23" s="2" t="s">
        <v>24</v>
      </c>
      <c r="E23" s="2" t="s">
        <v>17</v>
      </c>
      <c r="F23" s="2">
        <v>491905.13</v>
      </c>
      <c r="G23" s="2">
        <v>33518.879999999997</v>
      </c>
      <c r="H23" s="2">
        <v>2121</v>
      </c>
      <c r="I23" s="2">
        <v>0.17599999999999999</v>
      </c>
      <c r="J23" s="2">
        <v>8</v>
      </c>
      <c r="K23" s="2">
        <v>88.5</v>
      </c>
      <c r="L23" s="2">
        <v>0.2</v>
      </c>
      <c r="M23" s="2">
        <v>0</v>
      </c>
      <c r="N23" s="2">
        <v>5</v>
      </c>
      <c r="O23" s="2">
        <v>0</v>
      </c>
      <c r="P23" s="2">
        <v>0</v>
      </c>
      <c r="Q23" s="2">
        <v>1</v>
      </c>
      <c r="R23" s="2">
        <v>1</v>
      </c>
      <c r="S23" s="2">
        <v>0</v>
      </c>
      <c r="T23" s="2">
        <v>0</v>
      </c>
      <c r="U23" s="2">
        <f>'Multiple Regression Outputs'!$B$14+G23*'Multiple Regression Outputs'!$B$15+H23*'Multiple Regression Outputs'!$B$16+I23*'Multiple Regression Outputs'!$B$17+J23*'Multiple Regression Outputs'!$B$18+K23*'Multiple Regression Outputs'!$B$19+L23*'Multiple Regression Outputs'!$B$20+M23*'Multiple Regression Outputs'!$B$21+N23*'Multiple Regression Outputs'!$B$22+O23*'Multiple Regression Outputs'!$B$23+P23*'Multiple Regression Outputs'!$B$24+Q23*'Multiple Regression Outputs'!$B$25+R23*'Multiple Regression Outputs'!$B$26+S23*'Multiple Regression Outputs'!$B$27+T23*'Multiple Regression Outputs'!$B$28</f>
        <v>503781.97508276295</v>
      </c>
      <c r="V23" s="2">
        <f t="shared" si="0"/>
        <v>-11876.845082762942</v>
      </c>
    </row>
    <row r="24" spans="1:22" ht="15" customHeight="1">
      <c r="A24" s="2">
        <v>23</v>
      </c>
      <c r="B24" s="2" t="s">
        <v>29</v>
      </c>
      <c r="C24" s="2" t="s">
        <v>19</v>
      </c>
      <c r="D24" s="2" t="s">
        <v>24</v>
      </c>
      <c r="E24" s="2" t="s">
        <v>17</v>
      </c>
      <c r="F24" s="2">
        <v>555929.4</v>
      </c>
      <c r="G24" s="2">
        <v>42267.37</v>
      </c>
      <c r="H24" s="2">
        <v>3364</v>
      </c>
      <c r="I24" s="2">
        <v>0.16</v>
      </c>
      <c r="J24" s="2">
        <v>13</v>
      </c>
      <c r="K24" s="2">
        <v>82</v>
      </c>
      <c r="L24" s="2">
        <v>1.61</v>
      </c>
      <c r="M24" s="2">
        <v>1</v>
      </c>
      <c r="N24" s="2">
        <v>4.5999999999999996</v>
      </c>
      <c r="O24" s="2">
        <v>0</v>
      </c>
      <c r="P24" s="2">
        <v>0</v>
      </c>
      <c r="Q24" s="2">
        <v>1</v>
      </c>
      <c r="R24" s="2">
        <v>1</v>
      </c>
      <c r="S24" s="2">
        <v>0</v>
      </c>
      <c r="T24" s="2">
        <v>0</v>
      </c>
      <c r="U24" s="2">
        <f>'Multiple Regression Outputs'!$B$14+G24*'Multiple Regression Outputs'!$B$15+H24*'Multiple Regression Outputs'!$B$16+I24*'Multiple Regression Outputs'!$B$17+J24*'Multiple Regression Outputs'!$B$18+K24*'Multiple Regression Outputs'!$B$19+L24*'Multiple Regression Outputs'!$B$20+M24*'Multiple Regression Outputs'!$B$21+N24*'Multiple Regression Outputs'!$B$22+O24*'Multiple Regression Outputs'!$B$23+P24*'Multiple Regression Outputs'!$B$24+Q24*'Multiple Regression Outputs'!$B$25+R24*'Multiple Regression Outputs'!$B$26+S24*'Multiple Regression Outputs'!$B$27+T24*'Multiple Regression Outputs'!$B$28</f>
        <v>551949.20250083122</v>
      </c>
      <c r="V24" s="2">
        <f t="shared" si="0"/>
        <v>3980.1974991688039</v>
      </c>
    </row>
    <row r="25" spans="1:22" ht="15" customHeight="1">
      <c r="A25" s="2">
        <v>24</v>
      </c>
      <c r="B25" s="2" t="s">
        <v>29</v>
      </c>
      <c r="C25" s="2" t="s">
        <v>20</v>
      </c>
      <c r="D25" s="2" t="s">
        <v>24</v>
      </c>
      <c r="E25" s="2" t="s">
        <v>17</v>
      </c>
      <c r="F25" s="2">
        <v>565810.99</v>
      </c>
      <c r="G25" s="2">
        <v>62060.43</v>
      </c>
      <c r="H25" s="2">
        <v>2613</v>
      </c>
      <c r="I25" s="2">
        <v>0.216</v>
      </c>
      <c r="J25" s="2">
        <v>12</v>
      </c>
      <c r="K25" s="2">
        <v>92.1</v>
      </c>
      <c r="L25" s="2">
        <v>1.55</v>
      </c>
      <c r="M25" s="2">
        <v>0</v>
      </c>
      <c r="N25" s="2">
        <v>4.7</v>
      </c>
      <c r="O25" s="2">
        <v>0</v>
      </c>
      <c r="P25" s="2">
        <v>0</v>
      </c>
      <c r="Q25" s="2">
        <v>1</v>
      </c>
      <c r="R25" s="2">
        <v>1</v>
      </c>
      <c r="S25" s="2">
        <v>0</v>
      </c>
      <c r="T25" s="2">
        <v>0</v>
      </c>
      <c r="U25" s="2">
        <f>'Multiple Regression Outputs'!$B$14+G25*'Multiple Regression Outputs'!$B$15+H25*'Multiple Regression Outputs'!$B$16+I25*'Multiple Regression Outputs'!$B$17+J25*'Multiple Regression Outputs'!$B$18+K25*'Multiple Regression Outputs'!$B$19+L25*'Multiple Regression Outputs'!$B$20+M25*'Multiple Regression Outputs'!$B$21+N25*'Multiple Regression Outputs'!$B$22+O25*'Multiple Regression Outputs'!$B$23+P25*'Multiple Regression Outputs'!$B$24+Q25*'Multiple Regression Outputs'!$B$25+R25*'Multiple Regression Outputs'!$B$26+S25*'Multiple Regression Outputs'!$B$27+T25*'Multiple Regression Outputs'!$B$28</f>
        <v>566778.16114203422</v>
      </c>
      <c r="V25" s="2">
        <f t="shared" si="0"/>
        <v>-967.17114203423262</v>
      </c>
    </row>
    <row r="26" spans="1:22" ht="15" customHeight="1">
      <c r="A26" s="2">
        <v>25</v>
      </c>
      <c r="B26" s="2" t="s">
        <v>30</v>
      </c>
      <c r="C26" s="2" t="s">
        <v>15</v>
      </c>
      <c r="D26" s="2" t="s">
        <v>31</v>
      </c>
      <c r="E26" s="2" t="s">
        <v>32</v>
      </c>
      <c r="F26" s="2">
        <v>811771.14</v>
      </c>
      <c r="G26" s="2">
        <v>57696.69</v>
      </c>
      <c r="H26" s="2">
        <v>10218</v>
      </c>
      <c r="I26" s="2">
        <v>0.121</v>
      </c>
      <c r="J26" s="2">
        <v>25</v>
      </c>
      <c r="K26" s="2">
        <v>94.8</v>
      </c>
      <c r="L26" s="2">
        <v>2.99</v>
      </c>
      <c r="M26" s="2">
        <v>0</v>
      </c>
      <c r="N26" s="2">
        <v>3.5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1</v>
      </c>
      <c r="U26" s="2">
        <f>'Multiple Regression Outputs'!$B$14+G26*'Multiple Regression Outputs'!$B$15+H26*'Multiple Regression Outputs'!$B$16+I26*'Multiple Regression Outputs'!$B$17+J26*'Multiple Regression Outputs'!$B$18+K26*'Multiple Regression Outputs'!$B$19+L26*'Multiple Regression Outputs'!$B$20+M26*'Multiple Regression Outputs'!$B$21+N26*'Multiple Regression Outputs'!$B$22+O26*'Multiple Regression Outputs'!$B$23+P26*'Multiple Regression Outputs'!$B$24+Q26*'Multiple Regression Outputs'!$B$25+R26*'Multiple Regression Outputs'!$B$26+S26*'Multiple Regression Outputs'!$B$27+T26*'Multiple Regression Outputs'!$B$28</f>
        <v>855398.69525173143</v>
      </c>
      <c r="V26" s="2">
        <f t="shared" si="0"/>
        <v>-43627.555251731421</v>
      </c>
    </row>
    <row r="27" spans="1:22" ht="15" customHeight="1">
      <c r="A27" s="2">
        <v>26</v>
      </c>
      <c r="B27" s="2" t="s">
        <v>30</v>
      </c>
      <c r="C27" s="2" t="s">
        <v>18</v>
      </c>
      <c r="D27" s="2" t="s">
        <v>31</v>
      </c>
      <c r="E27" s="2" t="s">
        <v>32</v>
      </c>
      <c r="F27" s="2">
        <v>800451.94</v>
      </c>
      <c r="G27" s="2">
        <v>172415.52</v>
      </c>
      <c r="H27" s="2">
        <v>8927</v>
      </c>
      <c r="I27" s="2">
        <v>0.14000000000000001</v>
      </c>
      <c r="J27" s="2">
        <v>22</v>
      </c>
      <c r="K27" s="2">
        <v>86.2</v>
      </c>
      <c r="L27" s="2">
        <v>7.04</v>
      </c>
      <c r="M27" s="2">
        <v>0</v>
      </c>
      <c r="N27" s="2">
        <v>3.9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1</v>
      </c>
      <c r="U27" s="2">
        <f>'Multiple Regression Outputs'!$B$14+G27*'Multiple Regression Outputs'!$B$15+H27*'Multiple Regression Outputs'!$B$16+I27*'Multiple Regression Outputs'!$B$17+J27*'Multiple Regression Outputs'!$B$18+K27*'Multiple Regression Outputs'!$B$19+L27*'Multiple Regression Outputs'!$B$20+M27*'Multiple Regression Outputs'!$B$21+N27*'Multiple Regression Outputs'!$B$22+O27*'Multiple Regression Outputs'!$B$23+P27*'Multiple Regression Outputs'!$B$24+Q27*'Multiple Regression Outputs'!$B$25+R27*'Multiple Regression Outputs'!$B$26+S27*'Multiple Regression Outputs'!$B$27+T27*'Multiple Regression Outputs'!$B$28</f>
        <v>912344.8704493111</v>
      </c>
      <c r="V27" s="2">
        <f t="shared" si="0"/>
        <v>-111892.93044931116</v>
      </c>
    </row>
    <row r="28" spans="1:22" ht="15" customHeight="1">
      <c r="A28" s="2">
        <v>27</v>
      </c>
      <c r="B28" s="2" t="s">
        <v>30</v>
      </c>
      <c r="C28" s="2" t="s">
        <v>19</v>
      </c>
      <c r="D28" s="2" t="s">
        <v>31</v>
      </c>
      <c r="E28" s="2" t="s">
        <v>32</v>
      </c>
      <c r="F28" s="2">
        <v>783672.82</v>
      </c>
      <c r="G28" s="2">
        <v>55270.52</v>
      </c>
      <c r="H28" s="2">
        <v>9315</v>
      </c>
      <c r="I28" s="2">
        <v>0.16900000000000001</v>
      </c>
      <c r="J28" s="2">
        <v>23</v>
      </c>
      <c r="K28" s="2">
        <v>91.9</v>
      </c>
      <c r="L28" s="2">
        <v>4.9400000000000004</v>
      </c>
      <c r="M28" s="2">
        <v>0</v>
      </c>
      <c r="N28" s="2">
        <v>4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1</v>
      </c>
      <c r="U28" s="2">
        <f>'Multiple Regression Outputs'!$B$14+G28*'Multiple Regression Outputs'!$B$15+H28*'Multiple Regression Outputs'!$B$16+I28*'Multiple Regression Outputs'!$B$17+J28*'Multiple Regression Outputs'!$B$18+K28*'Multiple Regression Outputs'!$B$19+L28*'Multiple Regression Outputs'!$B$20+M28*'Multiple Regression Outputs'!$B$21+N28*'Multiple Regression Outputs'!$B$22+O28*'Multiple Regression Outputs'!$B$23+P28*'Multiple Regression Outputs'!$B$24+Q28*'Multiple Regression Outputs'!$B$25+R28*'Multiple Regression Outputs'!$B$26+S28*'Multiple Regression Outputs'!$B$27+T28*'Multiple Regression Outputs'!$B$28</f>
        <v>809452.1600523832</v>
      </c>
      <c r="V28" s="2">
        <f t="shared" si="0"/>
        <v>-25779.340052383253</v>
      </c>
    </row>
    <row r="29" spans="1:22" ht="15" customHeight="1">
      <c r="A29" s="2">
        <v>28</v>
      </c>
      <c r="B29" s="2" t="s">
        <v>30</v>
      </c>
      <c r="C29" s="2" t="s">
        <v>20</v>
      </c>
      <c r="D29" s="2" t="s">
        <v>31</v>
      </c>
      <c r="E29" s="2" t="s">
        <v>32</v>
      </c>
      <c r="F29" s="2">
        <v>701641.97</v>
      </c>
      <c r="G29" s="2">
        <v>52715.1</v>
      </c>
      <c r="H29" s="2">
        <v>7223</v>
      </c>
      <c r="I29" s="2">
        <v>0.122</v>
      </c>
      <c r="J29" s="2">
        <v>16</v>
      </c>
      <c r="K29" s="2">
        <v>84.2</v>
      </c>
      <c r="L29" s="2">
        <v>16.149999999999999</v>
      </c>
      <c r="M29" s="2">
        <v>0</v>
      </c>
      <c r="N29" s="2">
        <v>3.7</v>
      </c>
      <c r="O29" s="2">
        <v>0</v>
      </c>
      <c r="P29" s="2">
        <v>1</v>
      </c>
      <c r="Q29" s="2">
        <v>0</v>
      </c>
      <c r="R29" s="2">
        <v>0</v>
      </c>
      <c r="S29" s="2">
        <v>0</v>
      </c>
      <c r="T29" s="2">
        <v>1</v>
      </c>
      <c r="U29" s="2">
        <f>'Multiple Regression Outputs'!$B$14+G29*'Multiple Regression Outputs'!$B$15+H29*'Multiple Regression Outputs'!$B$16+I29*'Multiple Regression Outputs'!$B$17+J29*'Multiple Regression Outputs'!$B$18+K29*'Multiple Regression Outputs'!$B$19+L29*'Multiple Regression Outputs'!$B$20+M29*'Multiple Regression Outputs'!$B$21+N29*'Multiple Regression Outputs'!$B$22+O29*'Multiple Regression Outputs'!$B$23+P29*'Multiple Regression Outputs'!$B$24+Q29*'Multiple Regression Outputs'!$B$25+R29*'Multiple Regression Outputs'!$B$26+S29*'Multiple Regression Outputs'!$B$27+T29*'Multiple Regression Outputs'!$B$28</f>
        <v>660679.55161702808</v>
      </c>
      <c r="V29" s="2">
        <f t="shared" si="0"/>
        <v>40962.418382971897</v>
      </c>
    </row>
    <row r="30" spans="1:22" ht="15" customHeight="1">
      <c r="A30" s="2">
        <v>29</v>
      </c>
      <c r="B30" s="2" t="s">
        <v>33</v>
      </c>
      <c r="C30" s="2" t="s">
        <v>15</v>
      </c>
      <c r="D30" s="2" t="s">
        <v>16</v>
      </c>
      <c r="E30" s="2" t="s">
        <v>17</v>
      </c>
      <c r="F30" s="2">
        <v>511844.41</v>
      </c>
      <c r="G30" s="2">
        <v>68600.62</v>
      </c>
      <c r="H30" s="2">
        <v>3988</v>
      </c>
      <c r="I30" s="2">
        <v>0.124</v>
      </c>
      <c r="J30" s="2">
        <v>11</v>
      </c>
      <c r="K30" s="2">
        <v>85</v>
      </c>
      <c r="L30" s="2">
        <v>0.48</v>
      </c>
      <c r="M30" s="2">
        <v>0</v>
      </c>
      <c r="N30" s="2">
        <v>3.6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0</v>
      </c>
      <c r="U30" s="2">
        <f>'Multiple Regression Outputs'!$B$14+G30*'Multiple Regression Outputs'!$B$15+H30*'Multiple Regression Outputs'!$B$16+I30*'Multiple Regression Outputs'!$B$17+J30*'Multiple Regression Outputs'!$B$18+K30*'Multiple Regression Outputs'!$B$19+L30*'Multiple Regression Outputs'!$B$20+M30*'Multiple Regression Outputs'!$B$21+N30*'Multiple Regression Outputs'!$B$22+O30*'Multiple Regression Outputs'!$B$23+P30*'Multiple Regression Outputs'!$B$24+Q30*'Multiple Regression Outputs'!$B$25+R30*'Multiple Regression Outputs'!$B$26+S30*'Multiple Regression Outputs'!$B$27+T30*'Multiple Regression Outputs'!$B$28</f>
        <v>570792.52316620457</v>
      </c>
      <c r="V30" s="2">
        <f t="shared" si="0"/>
        <v>-58948.113166204595</v>
      </c>
    </row>
    <row r="31" spans="1:22" ht="15" customHeight="1">
      <c r="A31" s="2">
        <v>30</v>
      </c>
      <c r="B31" s="2" t="s">
        <v>33</v>
      </c>
      <c r="C31" s="2" t="s">
        <v>18</v>
      </c>
      <c r="D31" s="2" t="s">
        <v>16</v>
      </c>
      <c r="E31" s="2" t="s">
        <v>17</v>
      </c>
      <c r="F31" s="2">
        <v>537383.79</v>
      </c>
      <c r="G31" s="2">
        <v>63176.73</v>
      </c>
      <c r="H31" s="2">
        <v>2390</v>
      </c>
      <c r="I31" s="2">
        <v>0.216</v>
      </c>
      <c r="J31" s="2">
        <v>9</v>
      </c>
      <c r="K31" s="2">
        <v>87.5</v>
      </c>
      <c r="L31" s="2">
        <v>0.31</v>
      </c>
      <c r="M31" s="2">
        <v>0</v>
      </c>
      <c r="N31" s="2">
        <v>3.1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  <c r="T31" s="2">
        <v>0</v>
      </c>
      <c r="U31" s="2">
        <f>'Multiple Regression Outputs'!$B$14+G31*'Multiple Regression Outputs'!$B$15+H31*'Multiple Regression Outputs'!$B$16+I31*'Multiple Regression Outputs'!$B$17+J31*'Multiple Regression Outputs'!$B$18+K31*'Multiple Regression Outputs'!$B$19+L31*'Multiple Regression Outputs'!$B$20+M31*'Multiple Regression Outputs'!$B$21+N31*'Multiple Regression Outputs'!$B$22+O31*'Multiple Regression Outputs'!$B$23+P31*'Multiple Regression Outputs'!$B$24+Q31*'Multiple Regression Outputs'!$B$25+R31*'Multiple Regression Outputs'!$B$26+S31*'Multiple Regression Outputs'!$B$27+T31*'Multiple Regression Outputs'!$B$28</f>
        <v>511720.87018828955</v>
      </c>
      <c r="V31" s="2">
        <f t="shared" si="0"/>
        <v>25662.919811710482</v>
      </c>
    </row>
    <row r="32" spans="1:22" ht="15" customHeight="1">
      <c r="A32" s="2">
        <v>31</v>
      </c>
      <c r="B32" s="2" t="s">
        <v>33</v>
      </c>
      <c r="C32" s="2" t="s">
        <v>19</v>
      </c>
      <c r="D32" s="2" t="s">
        <v>16</v>
      </c>
      <c r="E32" s="2" t="s">
        <v>17</v>
      </c>
      <c r="F32" s="2">
        <v>500173.02</v>
      </c>
      <c r="G32" s="2">
        <v>44970.080000000002</v>
      </c>
      <c r="H32" s="2">
        <v>2471</v>
      </c>
      <c r="I32" s="2">
        <v>0.13600000000000001</v>
      </c>
      <c r="J32" s="2">
        <v>11</v>
      </c>
      <c r="K32" s="2">
        <v>87.6</v>
      </c>
      <c r="L32" s="2">
        <v>3.01</v>
      </c>
      <c r="M32" s="2">
        <v>1</v>
      </c>
      <c r="N32" s="2">
        <v>3.7</v>
      </c>
      <c r="O32" s="2">
        <v>0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f>'Multiple Regression Outputs'!$B$14+G32*'Multiple Regression Outputs'!$B$15+H32*'Multiple Regression Outputs'!$B$16+I32*'Multiple Regression Outputs'!$B$17+J32*'Multiple Regression Outputs'!$B$18+K32*'Multiple Regression Outputs'!$B$19+L32*'Multiple Regression Outputs'!$B$20+M32*'Multiple Regression Outputs'!$B$21+N32*'Multiple Regression Outputs'!$B$22+O32*'Multiple Regression Outputs'!$B$23+P32*'Multiple Regression Outputs'!$B$24+Q32*'Multiple Regression Outputs'!$B$25+R32*'Multiple Regression Outputs'!$B$26+S32*'Multiple Regression Outputs'!$B$27+T32*'Multiple Regression Outputs'!$B$28</f>
        <v>515908.90135796752</v>
      </c>
      <c r="V32" s="2">
        <f t="shared" si="0"/>
        <v>-15735.881357967504</v>
      </c>
    </row>
    <row r="33" spans="1:22" ht="15" customHeight="1">
      <c r="A33" s="2">
        <v>32</v>
      </c>
      <c r="B33" s="2" t="s">
        <v>33</v>
      </c>
      <c r="C33" s="2" t="s">
        <v>20</v>
      </c>
      <c r="D33" s="2" t="s">
        <v>16</v>
      </c>
      <c r="E33" s="2" t="s">
        <v>17</v>
      </c>
      <c r="F33" s="2">
        <v>427917.38</v>
      </c>
      <c r="G33" s="2">
        <v>69816.350000000006</v>
      </c>
      <c r="H33" s="2">
        <v>971</v>
      </c>
      <c r="I33" s="2">
        <v>0.16800000000000001</v>
      </c>
      <c r="J33" s="2">
        <v>5</v>
      </c>
      <c r="K33" s="2">
        <v>89.9</v>
      </c>
      <c r="L33" s="2">
        <v>12.15</v>
      </c>
      <c r="M33" s="2">
        <v>0</v>
      </c>
      <c r="N33" s="2">
        <v>3.6</v>
      </c>
      <c r="O33" s="2">
        <v>0</v>
      </c>
      <c r="P33" s="2">
        <v>0</v>
      </c>
      <c r="Q33" s="2">
        <v>1</v>
      </c>
      <c r="R33" s="2">
        <v>0</v>
      </c>
      <c r="S33" s="2">
        <v>0</v>
      </c>
      <c r="T33" s="2">
        <v>0</v>
      </c>
      <c r="U33" s="2">
        <f>'Multiple Regression Outputs'!$B$14+G33*'Multiple Regression Outputs'!$B$15+H33*'Multiple Regression Outputs'!$B$16+I33*'Multiple Regression Outputs'!$B$17+J33*'Multiple Regression Outputs'!$B$18+K33*'Multiple Regression Outputs'!$B$19+L33*'Multiple Regression Outputs'!$B$20+M33*'Multiple Regression Outputs'!$B$21+N33*'Multiple Regression Outputs'!$B$22+O33*'Multiple Regression Outputs'!$B$23+P33*'Multiple Regression Outputs'!$B$24+Q33*'Multiple Regression Outputs'!$B$25+R33*'Multiple Regression Outputs'!$B$26+S33*'Multiple Regression Outputs'!$B$27+T33*'Multiple Regression Outputs'!$B$28</f>
        <v>441807.1873291675</v>
      </c>
      <c r="V33" s="2">
        <f t="shared" si="0"/>
        <v>-13889.807329167495</v>
      </c>
    </row>
    <row r="34" spans="1:22" ht="15" customHeight="1">
      <c r="A34" s="2">
        <v>33</v>
      </c>
      <c r="B34" s="2" t="s">
        <v>34</v>
      </c>
      <c r="C34" s="2" t="s">
        <v>15</v>
      </c>
      <c r="D34" s="2" t="s">
        <v>24</v>
      </c>
      <c r="E34" s="2" t="s">
        <v>17</v>
      </c>
      <c r="F34" s="2">
        <v>641865.03</v>
      </c>
      <c r="G34" s="2">
        <v>54597.83</v>
      </c>
      <c r="H34" s="2">
        <v>9429</v>
      </c>
      <c r="I34" s="2">
        <v>0.188</v>
      </c>
      <c r="J34" s="2">
        <v>21</v>
      </c>
      <c r="K34" s="2">
        <v>83.3</v>
      </c>
      <c r="L34" s="2">
        <v>11.71</v>
      </c>
      <c r="M34" s="2">
        <v>0</v>
      </c>
      <c r="N34" s="2">
        <v>4.2</v>
      </c>
      <c r="O34" s="2">
        <v>0</v>
      </c>
      <c r="P34" s="2">
        <v>0</v>
      </c>
      <c r="Q34" s="2">
        <v>1</v>
      </c>
      <c r="R34" s="2">
        <v>1</v>
      </c>
      <c r="S34" s="2">
        <v>0</v>
      </c>
      <c r="T34" s="2">
        <v>0</v>
      </c>
      <c r="U34" s="2">
        <f>'Multiple Regression Outputs'!$B$14+G34*'Multiple Regression Outputs'!$B$15+H34*'Multiple Regression Outputs'!$B$16+I34*'Multiple Regression Outputs'!$B$17+J34*'Multiple Regression Outputs'!$B$18+K34*'Multiple Regression Outputs'!$B$19+L34*'Multiple Regression Outputs'!$B$20+M34*'Multiple Regression Outputs'!$B$21+N34*'Multiple Regression Outputs'!$B$22+O34*'Multiple Regression Outputs'!$B$23+P34*'Multiple Regression Outputs'!$B$24+Q34*'Multiple Regression Outputs'!$B$25+R34*'Multiple Regression Outputs'!$B$26+S34*'Multiple Regression Outputs'!$B$27+T34*'Multiple Regression Outputs'!$B$28</f>
        <v>708669.49574370135</v>
      </c>
      <c r="V34" s="2">
        <f t="shared" si="0"/>
        <v>-66804.465743701323</v>
      </c>
    </row>
    <row r="35" spans="1:22" ht="15" customHeight="1">
      <c r="A35" s="2">
        <v>34</v>
      </c>
      <c r="B35" s="2" t="s">
        <v>34</v>
      </c>
      <c r="C35" s="2" t="s">
        <v>18</v>
      </c>
      <c r="D35" s="2" t="s">
        <v>24</v>
      </c>
      <c r="E35" s="2" t="s">
        <v>17</v>
      </c>
      <c r="F35" s="2">
        <v>799477.76000000001</v>
      </c>
      <c r="G35" s="2">
        <v>73771.91</v>
      </c>
      <c r="H35" s="2">
        <v>11695</v>
      </c>
      <c r="I35" s="2">
        <v>7.0000000000000007E-2</v>
      </c>
      <c r="J35" s="2">
        <v>25</v>
      </c>
      <c r="K35" s="2">
        <v>84.7</v>
      </c>
      <c r="L35" s="2">
        <v>0.62</v>
      </c>
      <c r="M35" s="2">
        <v>0</v>
      </c>
      <c r="N35" s="2">
        <v>3.9</v>
      </c>
      <c r="O35" s="2">
        <v>0</v>
      </c>
      <c r="P35" s="2">
        <v>0</v>
      </c>
      <c r="Q35" s="2">
        <v>1</v>
      </c>
      <c r="R35" s="2">
        <v>1</v>
      </c>
      <c r="S35" s="2">
        <v>0</v>
      </c>
      <c r="T35" s="2">
        <v>0</v>
      </c>
      <c r="U35" s="2">
        <f>'Multiple Regression Outputs'!$B$14+G35*'Multiple Regression Outputs'!$B$15+H35*'Multiple Regression Outputs'!$B$16+I35*'Multiple Regression Outputs'!$B$17+J35*'Multiple Regression Outputs'!$B$18+K35*'Multiple Regression Outputs'!$B$19+L35*'Multiple Regression Outputs'!$B$20+M35*'Multiple Regression Outputs'!$B$21+N35*'Multiple Regression Outputs'!$B$22+O35*'Multiple Regression Outputs'!$B$23+P35*'Multiple Regression Outputs'!$B$24+Q35*'Multiple Regression Outputs'!$B$25+R35*'Multiple Regression Outputs'!$B$26+S35*'Multiple Regression Outputs'!$B$27+T35*'Multiple Regression Outputs'!$B$28</f>
        <v>851375.73984692793</v>
      </c>
      <c r="V35" s="2">
        <f t="shared" si="0"/>
        <v>-51897.979846927919</v>
      </c>
    </row>
    <row r="36" spans="1:22" ht="15" customHeight="1">
      <c r="A36" s="2">
        <v>35</v>
      </c>
      <c r="B36" s="2" t="s">
        <v>34</v>
      </c>
      <c r="C36" s="2" t="s">
        <v>19</v>
      </c>
      <c r="D36" s="2" t="s">
        <v>24</v>
      </c>
      <c r="E36" s="2" t="s">
        <v>17</v>
      </c>
      <c r="F36" s="2">
        <v>798952.17</v>
      </c>
      <c r="G36" s="2">
        <v>74413.88</v>
      </c>
      <c r="H36" s="2">
        <v>9449</v>
      </c>
      <c r="I36" s="2">
        <v>3.9E-2</v>
      </c>
      <c r="J36" s="2">
        <v>23</v>
      </c>
      <c r="K36" s="2">
        <v>92.1</v>
      </c>
      <c r="L36" s="2">
        <v>2.12</v>
      </c>
      <c r="M36" s="2">
        <v>0</v>
      </c>
      <c r="N36" s="2">
        <v>3.5</v>
      </c>
      <c r="O36" s="2">
        <v>0</v>
      </c>
      <c r="P36" s="2">
        <v>0</v>
      </c>
      <c r="Q36" s="2">
        <v>1</v>
      </c>
      <c r="R36" s="2">
        <v>1</v>
      </c>
      <c r="S36" s="2">
        <v>0</v>
      </c>
      <c r="T36" s="2">
        <v>0</v>
      </c>
      <c r="U36" s="2">
        <f>'Multiple Regression Outputs'!$B$14+G36*'Multiple Regression Outputs'!$B$15+H36*'Multiple Regression Outputs'!$B$16+I36*'Multiple Regression Outputs'!$B$17+J36*'Multiple Regression Outputs'!$B$18+K36*'Multiple Regression Outputs'!$B$19+L36*'Multiple Regression Outputs'!$B$20+M36*'Multiple Regression Outputs'!$B$21+N36*'Multiple Regression Outputs'!$B$22+O36*'Multiple Regression Outputs'!$B$23+P36*'Multiple Regression Outputs'!$B$24+Q36*'Multiple Regression Outputs'!$B$25+R36*'Multiple Regression Outputs'!$B$26+S36*'Multiple Regression Outputs'!$B$27+T36*'Multiple Regression Outputs'!$B$28</f>
        <v>797516.53309724713</v>
      </c>
      <c r="V36" s="2">
        <f t="shared" si="0"/>
        <v>1435.6369027529145</v>
      </c>
    </row>
    <row r="37" spans="1:22" ht="15" customHeight="1">
      <c r="A37" s="2">
        <v>36</v>
      </c>
      <c r="B37" s="2" t="s">
        <v>34</v>
      </c>
      <c r="C37" s="2" t="s">
        <v>20</v>
      </c>
      <c r="D37" s="2" t="s">
        <v>24</v>
      </c>
      <c r="E37" s="2" t="s">
        <v>17</v>
      </c>
      <c r="F37" s="2">
        <v>800979.78</v>
      </c>
      <c r="G37" s="2">
        <v>52483.77</v>
      </c>
      <c r="H37" s="2">
        <v>10453</v>
      </c>
      <c r="I37" s="2">
        <v>0.247</v>
      </c>
      <c r="J37" s="2">
        <v>25</v>
      </c>
      <c r="K37" s="2">
        <v>99</v>
      </c>
      <c r="L37" s="2">
        <v>6.31</v>
      </c>
      <c r="M37" s="2">
        <v>0</v>
      </c>
      <c r="N37" s="2">
        <v>3.6</v>
      </c>
      <c r="O37" s="2">
        <v>0</v>
      </c>
      <c r="P37" s="2">
        <v>0</v>
      </c>
      <c r="Q37" s="2">
        <v>1</v>
      </c>
      <c r="R37" s="2">
        <v>1</v>
      </c>
      <c r="S37" s="2">
        <v>0</v>
      </c>
      <c r="T37" s="2">
        <v>0</v>
      </c>
      <c r="U37" s="2">
        <f>'Multiple Regression Outputs'!$B$14+G37*'Multiple Regression Outputs'!$B$15+H37*'Multiple Regression Outputs'!$B$16+I37*'Multiple Regression Outputs'!$B$17+J37*'Multiple Regression Outputs'!$B$18+K37*'Multiple Regression Outputs'!$B$19+L37*'Multiple Regression Outputs'!$B$20+M37*'Multiple Regression Outputs'!$B$21+N37*'Multiple Regression Outputs'!$B$22+O37*'Multiple Regression Outputs'!$B$23+P37*'Multiple Regression Outputs'!$B$24+Q37*'Multiple Regression Outputs'!$B$25+R37*'Multiple Regression Outputs'!$B$26+S37*'Multiple Regression Outputs'!$B$27+T37*'Multiple Regression Outputs'!$B$28</f>
        <v>804840.95609460655</v>
      </c>
      <c r="V37" s="2">
        <f t="shared" si="0"/>
        <v>-3861.1760946065187</v>
      </c>
    </row>
    <row r="38" spans="1:22" ht="15" customHeight="1">
      <c r="A38" s="2">
        <v>37</v>
      </c>
      <c r="B38" s="2" t="s">
        <v>35</v>
      </c>
      <c r="C38" s="2" t="s">
        <v>15</v>
      </c>
      <c r="D38" s="2" t="s">
        <v>24</v>
      </c>
      <c r="E38" s="2" t="s">
        <v>32</v>
      </c>
      <c r="F38" s="2">
        <v>820593.93</v>
      </c>
      <c r="G38" s="2">
        <v>75269.87</v>
      </c>
      <c r="H38" s="2">
        <v>8838</v>
      </c>
      <c r="I38" s="2">
        <v>9.1999999999999998E-2</v>
      </c>
      <c r="J38" s="2">
        <v>21</v>
      </c>
      <c r="K38" s="2">
        <v>83.1</v>
      </c>
      <c r="L38" s="2">
        <v>9.56</v>
      </c>
      <c r="M38" s="2">
        <v>1</v>
      </c>
      <c r="N38" s="2">
        <v>4.2</v>
      </c>
      <c r="O38" s="2">
        <v>0</v>
      </c>
      <c r="P38" s="2">
        <v>1</v>
      </c>
      <c r="Q38" s="2">
        <v>0</v>
      </c>
      <c r="R38" s="2">
        <v>1</v>
      </c>
      <c r="S38" s="2">
        <v>0</v>
      </c>
      <c r="T38" s="2">
        <v>0</v>
      </c>
      <c r="U38" s="2">
        <f>'Multiple Regression Outputs'!$B$14+G38*'Multiple Regression Outputs'!$B$15+H38*'Multiple Regression Outputs'!$B$16+I38*'Multiple Regression Outputs'!$B$17+J38*'Multiple Regression Outputs'!$B$18+K38*'Multiple Regression Outputs'!$B$19+L38*'Multiple Regression Outputs'!$B$20+M38*'Multiple Regression Outputs'!$B$21+N38*'Multiple Regression Outputs'!$B$22+O38*'Multiple Regression Outputs'!$B$23+P38*'Multiple Regression Outputs'!$B$24+Q38*'Multiple Regression Outputs'!$B$25+R38*'Multiple Regression Outputs'!$B$26+S38*'Multiple Regression Outputs'!$B$27+T38*'Multiple Regression Outputs'!$B$28</f>
        <v>776254.4678251025</v>
      </c>
      <c r="V38" s="2">
        <f t="shared" si="0"/>
        <v>44339.462174897548</v>
      </c>
    </row>
    <row r="39" spans="1:22" ht="15" customHeight="1">
      <c r="A39" s="2">
        <v>38</v>
      </c>
      <c r="B39" s="2" t="s">
        <v>35</v>
      </c>
      <c r="C39" s="2" t="s">
        <v>18</v>
      </c>
      <c r="D39" s="2" t="s">
        <v>24</v>
      </c>
      <c r="E39" s="2" t="s">
        <v>32</v>
      </c>
      <c r="F39" s="2">
        <v>718330.53</v>
      </c>
      <c r="G39" s="2">
        <v>61245.41</v>
      </c>
      <c r="H39" s="2">
        <v>8156</v>
      </c>
      <c r="I39" s="2">
        <v>0.156</v>
      </c>
      <c r="J39" s="2">
        <v>19</v>
      </c>
      <c r="K39" s="2">
        <v>92.9</v>
      </c>
      <c r="L39" s="2">
        <v>9.0500000000000007</v>
      </c>
      <c r="M39" s="2">
        <v>0</v>
      </c>
      <c r="N39" s="2">
        <v>3.8</v>
      </c>
      <c r="O39" s="2">
        <v>0</v>
      </c>
      <c r="P39" s="2">
        <v>1</v>
      </c>
      <c r="Q39" s="2">
        <v>0</v>
      </c>
      <c r="R39" s="2">
        <v>1</v>
      </c>
      <c r="S39" s="2">
        <v>0</v>
      </c>
      <c r="T39" s="2">
        <v>0</v>
      </c>
      <c r="U39" s="2">
        <f>'Multiple Regression Outputs'!$B$14+G39*'Multiple Regression Outputs'!$B$15+H39*'Multiple Regression Outputs'!$B$16+I39*'Multiple Regression Outputs'!$B$17+J39*'Multiple Regression Outputs'!$B$18+K39*'Multiple Regression Outputs'!$B$19+L39*'Multiple Regression Outputs'!$B$20+M39*'Multiple Regression Outputs'!$B$21+N39*'Multiple Regression Outputs'!$B$22+O39*'Multiple Regression Outputs'!$B$23+P39*'Multiple Regression Outputs'!$B$24+Q39*'Multiple Regression Outputs'!$B$25+R39*'Multiple Regression Outputs'!$B$26+S39*'Multiple Regression Outputs'!$B$27+T39*'Multiple Regression Outputs'!$B$28</f>
        <v>742588.2533969261</v>
      </c>
      <c r="V39" s="2">
        <f t="shared" si="0"/>
        <v>-24257.723396926071</v>
      </c>
    </row>
    <row r="40" spans="1:22" ht="15" customHeight="1">
      <c r="A40" s="2">
        <v>39</v>
      </c>
      <c r="B40" s="2" t="s">
        <v>35</v>
      </c>
      <c r="C40" s="2" t="s">
        <v>19</v>
      </c>
      <c r="D40" s="2" t="s">
        <v>24</v>
      </c>
      <c r="E40" s="2" t="s">
        <v>32</v>
      </c>
      <c r="F40" s="2">
        <v>736633.4</v>
      </c>
      <c r="G40" s="2">
        <v>93381.26</v>
      </c>
      <c r="H40" s="2">
        <v>7562</v>
      </c>
      <c r="I40" s="2">
        <v>0.19800000000000001</v>
      </c>
      <c r="J40" s="2">
        <v>19</v>
      </c>
      <c r="K40" s="2">
        <v>82.9</v>
      </c>
      <c r="L40" s="2">
        <v>5.05</v>
      </c>
      <c r="M40" s="2">
        <v>0</v>
      </c>
      <c r="N40" s="2">
        <v>4</v>
      </c>
      <c r="O40" s="2">
        <v>0</v>
      </c>
      <c r="P40" s="2">
        <v>1</v>
      </c>
      <c r="Q40" s="2">
        <v>0</v>
      </c>
      <c r="R40" s="2">
        <v>1</v>
      </c>
      <c r="S40" s="2">
        <v>0</v>
      </c>
      <c r="T40" s="2">
        <v>0</v>
      </c>
      <c r="U40" s="2">
        <f>'Multiple Regression Outputs'!$B$14+G40*'Multiple Regression Outputs'!$B$15+H40*'Multiple Regression Outputs'!$B$16+I40*'Multiple Regression Outputs'!$B$17+J40*'Multiple Regression Outputs'!$B$18+K40*'Multiple Regression Outputs'!$B$19+L40*'Multiple Regression Outputs'!$B$20+M40*'Multiple Regression Outputs'!$B$21+N40*'Multiple Regression Outputs'!$B$22+O40*'Multiple Regression Outputs'!$B$23+P40*'Multiple Regression Outputs'!$B$24+Q40*'Multiple Regression Outputs'!$B$25+R40*'Multiple Regression Outputs'!$B$26+S40*'Multiple Regression Outputs'!$B$27+T40*'Multiple Regression Outputs'!$B$28</f>
        <v>749132.64300435805</v>
      </c>
      <c r="V40" s="2">
        <f t="shared" si="0"/>
        <v>-12499.243004358024</v>
      </c>
    </row>
    <row r="41" spans="1:22" ht="15" customHeight="1">
      <c r="A41" s="2">
        <v>40</v>
      </c>
      <c r="B41" s="2" t="s">
        <v>35</v>
      </c>
      <c r="C41" s="2" t="s">
        <v>20</v>
      </c>
      <c r="D41" s="2" t="s">
        <v>24</v>
      </c>
      <c r="E41" s="2" t="s">
        <v>32</v>
      </c>
      <c r="F41" s="2">
        <v>828623.85</v>
      </c>
      <c r="G41" s="2">
        <v>65012.19</v>
      </c>
      <c r="H41" s="2">
        <v>9598</v>
      </c>
      <c r="I41" s="2">
        <v>8.5000000000000006E-2</v>
      </c>
      <c r="J41" s="2">
        <v>24</v>
      </c>
      <c r="K41" s="2">
        <v>98.3</v>
      </c>
      <c r="L41" s="2">
        <v>0.89</v>
      </c>
      <c r="M41" s="2">
        <v>0</v>
      </c>
      <c r="N41" s="2">
        <v>3.8</v>
      </c>
      <c r="O41" s="2">
        <v>0</v>
      </c>
      <c r="P41" s="2">
        <v>1</v>
      </c>
      <c r="Q41" s="2">
        <v>0</v>
      </c>
      <c r="R41" s="2">
        <v>1</v>
      </c>
      <c r="S41" s="2">
        <v>0</v>
      </c>
      <c r="T41" s="2">
        <v>0</v>
      </c>
      <c r="U41" s="2">
        <f>'Multiple Regression Outputs'!$B$14+G41*'Multiple Regression Outputs'!$B$15+H41*'Multiple Regression Outputs'!$B$16+I41*'Multiple Regression Outputs'!$B$17+J41*'Multiple Regression Outputs'!$B$18+K41*'Multiple Regression Outputs'!$B$19+L41*'Multiple Regression Outputs'!$B$20+M41*'Multiple Regression Outputs'!$B$21+N41*'Multiple Regression Outputs'!$B$22+O41*'Multiple Regression Outputs'!$B$23+P41*'Multiple Regression Outputs'!$B$24+Q41*'Multiple Regression Outputs'!$B$25+R41*'Multiple Regression Outputs'!$B$26+S41*'Multiple Regression Outputs'!$B$27+T41*'Multiple Regression Outputs'!$B$28</f>
        <v>851625.73624094669</v>
      </c>
      <c r="V41" s="2">
        <f t="shared" si="0"/>
        <v>-23001.886240946711</v>
      </c>
    </row>
    <row r="42" spans="1:22" ht="15" customHeight="1">
      <c r="A42" s="2">
        <v>41</v>
      </c>
      <c r="B42" s="2" t="s">
        <v>36</v>
      </c>
      <c r="C42" s="2" t="s">
        <v>15</v>
      </c>
      <c r="D42" s="2" t="s">
        <v>16</v>
      </c>
      <c r="E42" s="2" t="s">
        <v>32</v>
      </c>
      <c r="F42" s="2">
        <v>592195.85</v>
      </c>
      <c r="G42" s="2">
        <v>40462.94</v>
      </c>
      <c r="H42" s="2">
        <v>3660</v>
      </c>
      <c r="I42" s="2">
        <v>0.218</v>
      </c>
      <c r="J42" s="2">
        <v>11</v>
      </c>
      <c r="K42" s="2">
        <v>95.2</v>
      </c>
      <c r="L42" s="2">
        <v>5.57</v>
      </c>
      <c r="M42" s="2">
        <v>0</v>
      </c>
      <c r="N42" s="2">
        <v>4.4000000000000004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f>'Multiple Regression Outputs'!$B$14+G42*'Multiple Regression Outputs'!$B$15+H42*'Multiple Regression Outputs'!$B$16+I42*'Multiple Regression Outputs'!$B$17+J42*'Multiple Regression Outputs'!$B$18+K42*'Multiple Regression Outputs'!$B$19+L42*'Multiple Regression Outputs'!$B$20+M42*'Multiple Regression Outputs'!$B$21+N42*'Multiple Regression Outputs'!$B$22+O42*'Multiple Regression Outputs'!$B$23+P42*'Multiple Regression Outputs'!$B$24+Q42*'Multiple Regression Outputs'!$B$25+R42*'Multiple Regression Outputs'!$B$26+S42*'Multiple Regression Outputs'!$B$27+T42*'Multiple Regression Outputs'!$B$28</f>
        <v>580479.81274882995</v>
      </c>
      <c r="V42" s="2">
        <f t="shared" si="0"/>
        <v>11716.037251170026</v>
      </c>
    </row>
    <row r="43" spans="1:22" ht="15" customHeight="1">
      <c r="A43" s="2">
        <v>42</v>
      </c>
      <c r="B43" s="2" t="s">
        <v>36</v>
      </c>
      <c r="C43" s="2" t="s">
        <v>18</v>
      </c>
      <c r="D43" s="2" t="s">
        <v>16</v>
      </c>
      <c r="E43" s="2" t="s">
        <v>32</v>
      </c>
      <c r="F43" s="2">
        <v>532644.46</v>
      </c>
      <c r="G43" s="2">
        <v>46123.88</v>
      </c>
      <c r="H43" s="2">
        <v>3227</v>
      </c>
      <c r="I43" s="2">
        <v>0.14299999999999999</v>
      </c>
      <c r="J43" s="2">
        <v>10</v>
      </c>
      <c r="K43" s="2">
        <v>75.400000000000006</v>
      </c>
      <c r="L43" s="2">
        <v>1.06</v>
      </c>
      <c r="M43" s="2">
        <v>0</v>
      </c>
      <c r="N43" s="2">
        <v>4.4000000000000004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f>'Multiple Regression Outputs'!$B$14+G43*'Multiple Regression Outputs'!$B$15+H43*'Multiple Regression Outputs'!$B$16+I43*'Multiple Regression Outputs'!$B$17+J43*'Multiple Regression Outputs'!$B$18+K43*'Multiple Regression Outputs'!$B$19+L43*'Multiple Regression Outputs'!$B$20+M43*'Multiple Regression Outputs'!$B$21+N43*'Multiple Regression Outputs'!$B$22+O43*'Multiple Regression Outputs'!$B$23+P43*'Multiple Regression Outputs'!$B$24+Q43*'Multiple Regression Outputs'!$B$25+R43*'Multiple Regression Outputs'!$B$26+S43*'Multiple Regression Outputs'!$B$27+T43*'Multiple Regression Outputs'!$B$28</f>
        <v>529951.51301314286</v>
      </c>
      <c r="V43" s="2">
        <f t="shared" si="0"/>
        <v>2692.9469868571032</v>
      </c>
    </row>
    <row r="44" spans="1:22" ht="15" customHeight="1">
      <c r="A44" s="2">
        <v>43</v>
      </c>
      <c r="B44" s="2" t="s">
        <v>36</v>
      </c>
      <c r="C44" s="2" t="s">
        <v>19</v>
      </c>
      <c r="D44" s="2" t="s">
        <v>16</v>
      </c>
      <c r="E44" s="2" t="s">
        <v>32</v>
      </c>
      <c r="F44" s="2">
        <v>657429.18000000005</v>
      </c>
      <c r="G44" s="2">
        <v>68077.539999999994</v>
      </c>
      <c r="H44" s="2">
        <v>3360</v>
      </c>
      <c r="I44" s="2">
        <v>0.128</v>
      </c>
      <c r="J44" s="2">
        <v>14</v>
      </c>
      <c r="K44" s="2">
        <v>88.2</v>
      </c>
      <c r="L44" s="2">
        <v>1.24</v>
      </c>
      <c r="M44" s="2">
        <v>1</v>
      </c>
      <c r="N44" s="2">
        <v>4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f>'Multiple Regression Outputs'!$B$14+G44*'Multiple Regression Outputs'!$B$15+H44*'Multiple Regression Outputs'!$B$16+I44*'Multiple Regression Outputs'!$B$17+J44*'Multiple Regression Outputs'!$B$18+K44*'Multiple Regression Outputs'!$B$19+L44*'Multiple Regression Outputs'!$B$20+M44*'Multiple Regression Outputs'!$B$21+N44*'Multiple Regression Outputs'!$B$22+O44*'Multiple Regression Outputs'!$B$23+P44*'Multiple Regression Outputs'!$B$24+Q44*'Multiple Regression Outputs'!$B$25+R44*'Multiple Regression Outputs'!$B$26+S44*'Multiple Regression Outputs'!$B$27+T44*'Multiple Regression Outputs'!$B$28</f>
        <v>623532.76453940722</v>
      </c>
      <c r="V44" s="2">
        <f t="shared" si="0"/>
        <v>33896.415460592834</v>
      </c>
    </row>
    <row r="45" spans="1:22" ht="15" customHeight="1">
      <c r="A45" s="2">
        <v>44</v>
      </c>
      <c r="B45" s="2" t="s">
        <v>36</v>
      </c>
      <c r="C45" s="2" t="s">
        <v>20</v>
      </c>
      <c r="D45" s="2" t="s">
        <v>16</v>
      </c>
      <c r="E45" s="2" t="s">
        <v>32</v>
      </c>
      <c r="F45" s="2">
        <v>605178</v>
      </c>
      <c r="G45" s="2">
        <v>64882.14</v>
      </c>
      <c r="H45" s="2">
        <v>3642</v>
      </c>
      <c r="I45" s="2">
        <v>1.9E-2</v>
      </c>
      <c r="J45" s="2">
        <v>13</v>
      </c>
      <c r="K45" s="2">
        <v>87.8</v>
      </c>
      <c r="L45" s="2">
        <v>4.5199999999999996</v>
      </c>
      <c r="M45" s="2">
        <v>0</v>
      </c>
      <c r="N45" s="2">
        <v>4.2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f>'Multiple Regression Outputs'!$B$14+G45*'Multiple Regression Outputs'!$B$15+H45*'Multiple Regression Outputs'!$B$16+I45*'Multiple Regression Outputs'!$B$17+J45*'Multiple Regression Outputs'!$B$18+K45*'Multiple Regression Outputs'!$B$19+L45*'Multiple Regression Outputs'!$B$20+M45*'Multiple Regression Outputs'!$B$21+N45*'Multiple Regression Outputs'!$B$22+O45*'Multiple Regression Outputs'!$B$23+P45*'Multiple Regression Outputs'!$B$24+Q45*'Multiple Regression Outputs'!$B$25+R45*'Multiple Regression Outputs'!$B$26+S45*'Multiple Regression Outputs'!$B$27+T45*'Multiple Regression Outputs'!$B$28</f>
        <v>603205.19695219689</v>
      </c>
      <c r="V45" s="2">
        <f t="shared" si="0"/>
        <v>1972.8030478031142</v>
      </c>
    </row>
    <row r="46" spans="1:22" ht="15" customHeight="1">
      <c r="A46" s="2">
        <v>45</v>
      </c>
      <c r="B46" s="2" t="s">
        <v>37</v>
      </c>
      <c r="C46" s="2" t="s">
        <v>15</v>
      </c>
      <c r="D46" s="2" t="s">
        <v>31</v>
      </c>
      <c r="E46" s="2" t="s">
        <v>17</v>
      </c>
      <c r="F46" s="2">
        <v>595467.6</v>
      </c>
      <c r="G46" s="2">
        <v>138855.51</v>
      </c>
      <c r="H46" s="2">
        <v>5145</v>
      </c>
      <c r="I46" s="2">
        <v>0.06</v>
      </c>
      <c r="J46" s="2">
        <v>17</v>
      </c>
      <c r="K46" s="2">
        <v>88.2</v>
      </c>
      <c r="L46" s="2">
        <v>9.58</v>
      </c>
      <c r="M46" s="2">
        <v>0</v>
      </c>
      <c r="N46" s="2">
        <v>3.2</v>
      </c>
      <c r="O46" s="2">
        <v>0</v>
      </c>
      <c r="P46" s="2">
        <v>0</v>
      </c>
      <c r="Q46" s="2">
        <v>1</v>
      </c>
      <c r="R46" s="2">
        <v>0</v>
      </c>
      <c r="S46" s="2">
        <v>0</v>
      </c>
      <c r="T46" s="2">
        <v>1</v>
      </c>
      <c r="U46" s="2">
        <f>'Multiple Regression Outputs'!$B$14+G46*'Multiple Regression Outputs'!$B$15+H46*'Multiple Regression Outputs'!$B$16+I46*'Multiple Regression Outputs'!$B$17+J46*'Multiple Regression Outputs'!$B$18+K46*'Multiple Regression Outputs'!$B$19+L46*'Multiple Regression Outputs'!$B$20+M46*'Multiple Regression Outputs'!$B$21+N46*'Multiple Regression Outputs'!$B$22+O46*'Multiple Regression Outputs'!$B$23+P46*'Multiple Regression Outputs'!$B$24+Q46*'Multiple Regression Outputs'!$B$25+R46*'Multiple Regression Outputs'!$B$26+S46*'Multiple Regression Outputs'!$B$27+T46*'Multiple Regression Outputs'!$B$28</f>
        <v>709913.7755063863</v>
      </c>
      <c r="V46" s="2">
        <f t="shared" si="0"/>
        <v>-114446.17550638632</v>
      </c>
    </row>
    <row r="47" spans="1:22" ht="15" customHeight="1">
      <c r="A47" s="2">
        <v>46</v>
      </c>
      <c r="B47" s="2" t="s">
        <v>37</v>
      </c>
      <c r="C47" s="2" t="s">
        <v>18</v>
      </c>
      <c r="D47" s="2" t="s">
        <v>31</v>
      </c>
      <c r="E47" s="2" t="s">
        <v>17</v>
      </c>
      <c r="F47" s="2">
        <v>599603.4</v>
      </c>
      <c r="G47" s="2">
        <v>63630.21</v>
      </c>
      <c r="H47" s="2">
        <v>4460</v>
      </c>
      <c r="I47" s="2">
        <v>0.23499999999999999</v>
      </c>
      <c r="J47" s="2">
        <v>14</v>
      </c>
      <c r="K47" s="2">
        <v>98.6</v>
      </c>
      <c r="L47" s="2">
        <v>5.52</v>
      </c>
      <c r="M47" s="2">
        <v>0</v>
      </c>
      <c r="N47" s="2">
        <v>3.5</v>
      </c>
      <c r="O47" s="2">
        <v>0</v>
      </c>
      <c r="P47" s="2">
        <v>0</v>
      </c>
      <c r="Q47" s="2">
        <v>1</v>
      </c>
      <c r="R47" s="2">
        <v>0</v>
      </c>
      <c r="S47" s="2">
        <v>0</v>
      </c>
      <c r="T47" s="2">
        <v>1</v>
      </c>
      <c r="U47" s="2">
        <f>'Multiple Regression Outputs'!$B$14+G47*'Multiple Regression Outputs'!$B$15+H47*'Multiple Regression Outputs'!$B$16+I47*'Multiple Regression Outputs'!$B$17+J47*'Multiple Regression Outputs'!$B$18+K47*'Multiple Regression Outputs'!$B$19+L47*'Multiple Regression Outputs'!$B$20+M47*'Multiple Regression Outputs'!$B$21+N47*'Multiple Regression Outputs'!$B$22+O47*'Multiple Regression Outputs'!$B$23+P47*'Multiple Regression Outputs'!$B$24+Q47*'Multiple Regression Outputs'!$B$25+R47*'Multiple Regression Outputs'!$B$26+S47*'Multiple Regression Outputs'!$B$27+T47*'Multiple Regression Outputs'!$B$28</f>
        <v>631987.04320488567</v>
      </c>
      <c r="V47" s="2">
        <f t="shared" si="0"/>
        <v>-32383.643204885651</v>
      </c>
    </row>
    <row r="48" spans="1:22" ht="15" customHeight="1">
      <c r="A48" s="2">
        <v>47</v>
      </c>
      <c r="B48" s="2" t="s">
        <v>37</v>
      </c>
      <c r="C48" s="2" t="s">
        <v>19</v>
      </c>
      <c r="D48" s="2" t="s">
        <v>31</v>
      </c>
      <c r="E48" s="2" t="s">
        <v>17</v>
      </c>
      <c r="F48" s="2">
        <v>614800.09</v>
      </c>
      <c r="G48" s="2">
        <v>50043.65</v>
      </c>
      <c r="H48" s="2">
        <v>3804</v>
      </c>
      <c r="I48" s="2">
        <v>0.113</v>
      </c>
      <c r="J48" s="2">
        <v>11</v>
      </c>
      <c r="K48" s="2">
        <v>90.9</v>
      </c>
      <c r="L48" s="2">
        <v>2.7</v>
      </c>
      <c r="M48" s="2">
        <v>1</v>
      </c>
      <c r="N48" s="2">
        <v>3.2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  <c r="T48" s="2">
        <v>1</v>
      </c>
      <c r="U48" s="2">
        <f>'Multiple Regression Outputs'!$B$14+G48*'Multiple Regression Outputs'!$B$15+H48*'Multiple Regression Outputs'!$B$16+I48*'Multiple Regression Outputs'!$B$17+J48*'Multiple Regression Outputs'!$B$18+K48*'Multiple Regression Outputs'!$B$19+L48*'Multiple Regression Outputs'!$B$20+M48*'Multiple Regression Outputs'!$B$21+N48*'Multiple Regression Outputs'!$B$22+O48*'Multiple Regression Outputs'!$B$23+P48*'Multiple Regression Outputs'!$B$24+Q48*'Multiple Regression Outputs'!$B$25+R48*'Multiple Regression Outputs'!$B$26+S48*'Multiple Regression Outputs'!$B$27+T48*'Multiple Regression Outputs'!$B$28</f>
        <v>589643.09401952906</v>
      </c>
      <c r="V48" s="2">
        <f t="shared" si="0"/>
        <v>25156.995980470907</v>
      </c>
    </row>
    <row r="49" spans="1:22" ht="15" customHeight="1">
      <c r="A49" s="2">
        <v>48</v>
      </c>
      <c r="B49" s="2" t="s">
        <v>37</v>
      </c>
      <c r="C49" s="2" t="s">
        <v>20</v>
      </c>
      <c r="D49" s="2" t="s">
        <v>31</v>
      </c>
      <c r="E49" s="2" t="s">
        <v>17</v>
      </c>
      <c r="F49" s="2">
        <v>585365.73</v>
      </c>
      <c r="G49" s="2">
        <v>42093.84</v>
      </c>
      <c r="H49" s="2">
        <v>4074</v>
      </c>
      <c r="I49" s="2">
        <v>0.155</v>
      </c>
      <c r="J49" s="2">
        <v>15</v>
      </c>
      <c r="K49" s="2">
        <v>88</v>
      </c>
      <c r="L49" s="2">
        <v>9.64</v>
      </c>
      <c r="M49" s="2">
        <v>0</v>
      </c>
      <c r="N49" s="2">
        <v>3.3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1</v>
      </c>
      <c r="U49" s="2">
        <f>'Multiple Regression Outputs'!$B$14+G49*'Multiple Regression Outputs'!$B$15+H49*'Multiple Regression Outputs'!$B$16+I49*'Multiple Regression Outputs'!$B$17+J49*'Multiple Regression Outputs'!$B$18+K49*'Multiple Regression Outputs'!$B$19+L49*'Multiple Regression Outputs'!$B$20+M49*'Multiple Regression Outputs'!$B$21+N49*'Multiple Regression Outputs'!$B$22+O49*'Multiple Regression Outputs'!$B$23+P49*'Multiple Regression Outputs'!$B$24+Q49*'Multiple Regression Outputs'!$B$25+R49*'Multiple Regression Outputs'!$B$26+S49*'Multiple Regression Outputs'!$B$27+T49*'Multiple Regression Outputs'!$B$28</f>
        <v>553059.32951934298</v>
      </c>
      <c r="V49" s="2">
        <f t="shared" si="0"/>
        <v>32306.400480657001</v>
      </c>
    </row>
    <row r="50" spans="1:22" ht="15" customHeight="1">
      <c r="A50" s="2">
        <v>49</v>
      </c>
      <c r="B50" s="2" t="s">
        <v>38</v>
      </c>
      <c r="C50" s="2" t="s">
        <v>15</v>
      </c>
      <c r="D50" s="2" t="s">
        <v>24</v>
      </c>
      <c r="E50" s="2" t="s">
        <v>32</v>
      </c>
      <c r="F50" s="2">
        <v>622811.74</v>
      </c>
      <c r="G50" s="2">
        <v>46624.05</v>
      </c>
      <c r="H50" s="2">
        <v>5104</v>
      </c>
      <c r="I50" s="2">
        <v>0.109</v>
      </c>
      <c r="J50" s="2">
        <v>11</v>
      </c>
      <c r="K50" s="2">
        <v>97.3</v>
      </c>
      <c r="L50" s="2">
        <v>3.49</v>
      </c>
      <c r="M50" s="2">
        <v>1</v>
      </c>
      <c r="N50" s="2">
        <v>4.7</v>
      </c>
      <c r="O50" s="2">
        <v>0</v>
      </c>
      <c r="P50" s="2">
        <v>1</v>
      </c>
      <c r="Q50" s="2">
        <v>0</v>
      </c>
      <c r="R50" s="2">
        <v>1</v>
      </c>
      <c r="S50" s="2">
        <v>0</v>
      </c>
      <c r="T50" s="2">
        <v>0</v>
      </c>
      <c r="U50" s="2">
        <f>'Multiple Regression Outputs'!$B$14+G50*'Multiple Regression Outputs'!$B$15+H50*'Multiple Regression Outputs'!$B$16+I50*'Multiple Regression Outputs'!$B$17+J50*'Multiple Regression Outputs'!$B$18+K50*'Multiple Regression Outputs'!$B$19+L50*'Multiple Regression Outputs'!$B$20+M50*'Multiple Regression Outputs'!$B$21+N50*'Multiple Regression Outputs'!$B$22+O50*'Multiple Regression Outputs'!$B$23+P50*'Multiple Regression Outputs'!$B$24+Q50*'Multiple Regression Outputs'!$B$25+R50*'Multiple Regression Outputs'!$B$26+S50*'Multiple Regression Outputs'!$B$27+T50*'Multiple Regression Outputs'!$B$28</f>
        <v>674344.02914607222</v>
      </c>
      <c r="V50" s="2">
        <f t="shared" si="0"/>
        <v>-51532.289146072231</v>
      </c>
    </row>
    <row r="51" spans="1:22" ht="15" customHeight="1">
      <c r="A51" s="2">
        <v>50</v>
      </c>
      <c r="B51" s="2" t="s">
        <v>38</v>
      </c>
      <c r="C51" s="2" t="s">
        <v>18</v>
      </c>
      <c r="D51" s="2" t="s">
        <v>24</v>
      </c>
      <c r="E51" s="2" t="s">
        <v>32</v>
      </c>
      <c r="F51" s="2">
        <v>603297.56999999995</v>
      </c>
      <c r="G51" s="2">
        <v>49710.29</v>
      </c>
      <c r="H51" s="2">
        <v>5559</v>
      </c>
      <c r="I51" s="2">
        <v>0.218</v>
      </c>
      <c r="J51" s="2">
        <v>14</v>
      </c>
      <c r="K51" s="2">
        <v>71</v>
      </c>
      <c r="L51" s="2">
        <v>9.11</v>
      </c>
      <c r="M51" s="2">
        <v>0</v>
      </c>
      <c r="N51" s="2">
        <v>4.5999999999999996</v>
      </c>
      <c r="O51" s="2">
        <v>0</v>
      </c>
      <c r="P51" s="2">
        <v>1</v>
      </c>
      <c r="Q51" s="2">
        <v>0</v>
      </c>
      <c r="R51" s="2">
        <v>1</v>
      </c>
      <c r="S51" s="2">
        <v>0</v>
      </c>
      <c r="T51" s="2">
        <v>0</v>
      </c>
      <c r="U51" s="2">
        <f>'Multiple Regression Outputs'!$B$14+G51*'Multiple Regression Outputs'!$B$15+H51*'Multiple Regression Outputs'!$B$16+I51*'Multiple Regression Outputs'!$B$17+J51*'Multiple Regression Outputs'!$B$18+K51*'Multiple Regression Outputs'!$B$19+L51*'Multiple Regression Outputs'!$B$20+M51*'Multiple Regression Outputs'!$B$21+N51*'Multiple Regression Outputs'!$B$22+O51*'Multiple Regression Outputs'!$B$23+P51*'Multiple Regression Outputs'!$B$24+Q51*'Multiple Regression Outputs'!$B$25+R51*'Multiple Regression Outputs'!$B$26+S51*'Multiple Regression Outputs'!$B$27+T51*'Multiple Regression Outputs'!$B$28</f>
        <v>580279.29138570465</v>
      </c>
      <c r="V51" s="2">
        <f t="shared" si="0"/>
        <v>23018.278614295297</v>
      </c>
    </row>
    <row r="52" spans="1:22" ht="15" customHeight="1">
      <c r="A52" s="2">
        <v>51</v>
      </c>
      <c r="B52" s="2" t="s">
        <v>38</v>
      </c>
      <c r="C52" s="2" t="s">
        <v>19</v>
      </c>
      <c r="D52" s="2" t="s">
        <v>24</v>
      </c>
      <c r="E52" s="2" t="s">
        <v>32</v>
      </c>
      <c r="F52" s="2">
        <v>625672.86</v>
      </c>
      <c r="G52" s="2">
        <v>48287.85</v>
      </c>
      <c r="H52" s="2">
        <v>5150</v>
      </c>
      <c r="I52" s="2">
        <v>8.0000000000000002E-3</v>
      </c>
      <c r="J52" s="2">
        <v>12</v>
      </c>
      <c r="K52" s="2">
        <v>80.400000000000006</v>
      </c>
      <c r="L52" s="2">
        <v>7.4</v>
      </c>
      <c r="M52" s="2">
        <v>0</v>
      </c>
      <c r="N52" s="2">
        <v>4.5</v>
      </c>
      <c r="O52" s="2">
        <v>0</v>
      </c>
      <c r="P52" s="2">
        <v>1</v>
      </c>
      <c r="Q52" s="2">
        <v>0</v>
      </c>
      <c r="R52" s="2">
        <v>1</v>
      </c>
      <c r="S52" s="2">
        <v>0</v>
      </c>
      <c r="T52" s="2">
        <v>0</v>
      </c>
      <c r="U52" s="2">
        <f>'Multiple Regression Outputs'!$B$14+G52*'Multiple Regression Outputs'!$B$15+H52*'Multiple Regression Outputs'!$B$16+I52*'Multiple Regression Outputs'!$B$17+J52*'Multiple Regression Outputs'!$B$18+K52*'Multiple Regression Outputs'!$B$19+L52*'Multiple Regression Outputs'!$B$20+M52*'Multiple Regression Outputs'!$B$21+N52*'Multiple Regression Outputs'!$B$22+O52*'Multiple Regression Outputs'!$B$23+P52*'Multiple Regression Outputs'!$B$24+Q52*'Multiple Regression Outputs'!$B$25+R52*'Multiple Regression Outputs'!$B$26+S52*'Multiple Regression Outputs'!$B$27+T52*'Multiple Regression Outputs'!$B$28</f>
        <v>602434.9950303043</v>
      </c>
      <c r="V52" s="2">
        <f t="shared" si="0"/>
        <v>23237.864969695685</v>
      </c>
    </row>
    <row r="53" spans="1:22" ht="15" customHeight="1">
      <c r="A53" s="2">
        <v>52</v>
      </c>
      <c r="B53" s="2" t="s">
        <v>38</v>
      </c>
      <c r="C53" s="2" t="s">
        <v>20</v>
      </c>
      <c r="D53" s="2" t="s">
        <v>24</v>
      </c>
      <c r="E53" s="2" t="s">
        <v>32</v>
      </c>
      <c r="F53" s="2">
        <v>773815.14</v>
      </c>
      <c r="G53" s="2">
        <v>65312.49</v>
      </c>
      <c r="H53" s="2">
        <v>7189</v>
      </c>
      <c r="I53" s="2">
        <v>0.05</v>
      </c>
      <c r="J53" s="2">
        <v>19</v>
      </c>
      <c r="K53" s="2">
        <v>93.7</v>
      </c>
      <c r="L53" s="2">
        <v>7.16</v>
      </c>
      <c r="M53" s="2">
        <v>0</v>
      </c>
      <c r="N53" s="2">
        <v>4.5999999999999996</v>
      </c>
      <c r="O53" s="2">
        <v>0</v>
      </c>
      <c r="P53" s="2">
        <v>1</v>
      </c>
      <c r="Q53" s="2">
        <v>0</v>
      </c>
      <c r="R53" s="2">
        <v>1</v>
      </c>
      <c r="S53" s="2">
        <v>0</v>
      </c>
      <c r="T53" s="2">
        <v>0</v>
      </c>
      <c r="U53" s="2">
        <f>'Multiple Regression Outputs'!$B$14+G53*'Multiple Regression Outputs'!$B$15+H53*'Multiple Regression Outputs'!$B$16+I53*'Multiple Regression Outputs'!$B$17+J53*'Multiple Regression Outputs'!$B$18+K53*'Multiple Regression Outputs'!$B$19+L53*'Multiple Regression Outputs'!$B$20+M53*'Multiple Regression Outputs'!$B$21+N53*'Multiple Regression Outputs'!$B$22+O53*'Multiple Regression Outputs'!$B$23+P53*'Multiple Regression Outputs'!$B$24+Q53*'Multiple Regression Outputs'!$B$25+R53*'Multiple Regression Outputs'!$B$26+S53*'Multiple Regression Outputs'!$B$27+T53*'Multiple Regression Outputs'!$B$28</f>
        <v>744402.16398159927</v>
      </c>
      <c r="V53" s="2">
        <f t="shared" si="0"/>
        <v>29412.976018400746</v>
      </c>
    </row>
    <row r="54" spans="1:22" ht="15" customHeight="1">
      <c r="A54" s="2">
        <v>53</v>
      </c>
      <c r="B54" s="2" t="s">
        <v>39</v>
      </c>
      <c r="C54" s="2" t="s">
        <v>15</v>
      </c>
      <c r="D54" s="2" t="s">
        <v>31</v>
      </c>
      <c r="E54" s="2" t="s">
        <v>22</v>
      </c>
      <c r="F54" s="2">
        <v>463534.25</v>
      </c>
      <c r="G54" s="2">
        <v>53015.46</v>
      </c>
      <c r="H54" s="2">
        <v>3279</v>
      </c>
      <c r="I54" s="2">
        <v>8.6999999999999994E-2</v>
      </c>
      <c r="J54" s="2">
        <v>9</v>
      </c>
      <c r="K54" s="2">
        <v>84.3</v>
      </c>
      <c r="L54" s="2">
        <v>22.02</v>
      </c>
      <c r="M54" s="2">
        <v>0</v>
      </c>
      <c r="N54" s="2">
        <v>3.9</v>
      </c>
      <c r="O54" s="2">
        <v>1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2">
        <f>'Multiple Regression Outputs'!$B$14+G54*'Multiple Regression Outputs'!$B$15+H54*'Multiple Regression Outputs'!$B$16+I54*'Multiple Regression Outputs'!$B$17+J54*'Multiple Regression Outputs'!$B$18+K54*'Multiple Regression Outputs'!$B$19+L54*'Multiple Regression Outputs'!$B$20+M54*'Multiple Regression Outputs'!$B$21+N54*'Multiple Regression Outputs'!$B$22+O54*'Multiple Regression Outputs'!$B$23+P54*'Multiple Regression Outputs'!$B$24+Q54*'Multiple Regression Outputs'!$B$25+R54*'Multiple Regression Outputs'!$B$26+S54*'Multiple Regression Outputs'!$B$27+T54*'Multiple Regression Outputs'!$B$28</f>
        <v>500126.55486887245</v>
      </c>
      <c r="V54" s="2">
        <f t="shared" si="0"/>
        <v>-36592.304868872452</v>
      </c>
    </row>
    <row r="55" spans="1:22" ht="15" customHeight="1">
      <c r="A55" s="2">
        <v>54</v>
      </c>
      <c r="B55" s="2" t="s">
        <v>39</v>
      </c>
      <c r="C55" s="2" t="s">
        <v>18</v>
      </c>
      <c r="D55" s="2" t="s">
        <v>31</v>
      </c>
      <c r="E55" s="2" t="s">
        <v>22</v>
      </c>
      <c r="F55" s="2">
        <v>746677.75</v>
      </c>
      <c r="G55" s="2">
        <v>99874.01</v>
      </c>
      <c r="H55" s="2">
        <v>5887</v>
      </c>
      <c r="I55" s="2">
        <v>0.26200000000000001</v>
      </c>
      <c r="J55" s="2">
        <v>14</v>
      </c>
      <c r="K55" s="2">
        <v>88.7</v>
      </c>
      <c r="L55" s="2">
        <v>6.18</v>
      </c>
      <c r="M55" s="2">
        <v>0</v>
      </c>
      <c r="N55" s="2">
        <v>4.7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1</v>
      </c>
      <c r="U55" s="2">
        <f>'Multiple Regression Outputs'!$B$14+G55*'Multiple Regression Outputs'!$B$15+H55*'Multiple Regression Outputs'!$B$16+I55*'Multiple Regression Outputs'!$B$17+J55*'Multiple Regression Outputs'!$B$18+K55*'Multiple Regression Outputs'!$B$19+L55*'Multiple Regression Outputs'!$B$20+M55*'Multiple Regression Outputs'!$B$21+N55*'Multiple Regression Outputs'!$B$22+O55*'Multiple Regression Outputs'!$B$23+P55*'Multiple Regression Outputs'!$B$24+Q55*'Multiple Regression Outputs'!$B$25+R55*'Multiple Regression Outputs'!$B$26+S55*'Multiple Regression Outputs'!$B$27+T55*'Multiple Regression Outputs'!$B$28</f>
        <v>716380.21406149177</v>
      </c>
      <c r="V55" s="2">
        <f t="shared" si="0"/>
        <v>30297.535938508227</v>
      </c>
    </row>
    <row r="56" spans="1:22" ht="15" customHeight="1">
      <c r="A56" s="2">
        <v>55</v>
      </c>
      <c r="B56" s="2" t="s">
        <v>39</v>
      </c>
      <c r="C56" s="2" t="s">
        <v>19</v>
      </c>
      <c r="D56" s="2" t="s">
        <v>31</v>
      </c>
      <c r="E56" s="2" t="s">
        <v>22</v>
      </c>
      <c r="F56" s="2">
        <v>720852.5</v>
      </c>
      <c r="G56" s="2">
        <v>81195.5</v>
      </c>
      <c r="H56" s="2">
        <v>5516</v>
      </c>
      <c r="I56" s="2">
        <v>0.106</v>
      </c>
      <c r="J56" s="2">
        <v>14</v>
      </c>
      <c r="K56" s="2">
        <v>88</v>
      </c>
      <c r="L56" s="2">
        <v>1.76</v>
      </c>
      <c r="M56" s="2">
        <v>0</v>
      </c>
      <c r="N56" s="2">
        <v>4.3</v>
      </c>
      <c r="O56" s="2">
        <v>1</v>
      </c>
      <c r="P56" s="2">
        <v>0</v>
      </c>
      <c r="Q56" s="2">
        <v>0</v>
      </c>
      <c r="R56" s="2">
        <v>0</v>
      </c>
      <c r="S56" s="2">
        <v>0</v>
      </c>
      <c r="T56" s="2">
        <v>1</v>
      </c>
      <c r="U56" s="2">
        <f>'Multiple Regression Outputs'!$B$14+G56*'Multiple Regression Outputs'!$B$15+H56*'Multiple Regression Outputs'!$B$16+I56*'Multiple Regression Outputs'!$B$17+J56*'Multiple Regression Outputs'!$B$18+K56*'Multiple Regression Outputs'!$B$19+L56*'Multiple Regression Outputs'!$B$20+M56*'Multiple Regression Outputs'!$B$21+N56*'Multiple Regression Outputs'!$B$22+O56*'Multiple Regression Outputs'!$B$23+P56*'Multiple Regression Outputs'!$B$24+Q56*'Multiple Regression Outputs'!$B$25+R56*'Multiple Regression Outputs'!$B$26+S56*'Multiple Regression Outputs'!$B$27+T56*'Multiple Regression Outputs'!$B$28</f>
        <v>698121.86080652638</v>
      </c>
      <c r="V56" s="2">
        <f t="shared" si="0"/>
        <v>22730.639193473617</v>
      </c>
    </row>
    <row r="57" spans="1:22" ht="15" customHeight="1">
      <c r="A57" s="2">
        <v>56</v>
      </c>
      <c r="B57" s="2" t="s">
        <v>39</v>
      </c>
      <c r="C57" s="2" t="s">
        <v>20</v>
      </c>
      <c r="D57" s="2" t="s">
        <v>31</v>
      </c>
      <c r="E57" s="2" t="s">
        <v>22</v>
      </c>
      <c r="F57" s="2">
        <v>487464.91</v>
      </c>
      <c r="G57" s="2">
        <v>27808.6</v>
      </c>
      <c r="H57" s="2">
        <v>2863</v>
      </c>
      <c r="I57" s="2">
        <v>0.08</v>
      </c>
      <c r="J57" s="2">
        <v>13</v>
      </c>
      <c r="K57" s="2">
        <v>89.3</v>
      </c>
      <c r="L57" s="2">
        <v>0.47</v>
      </c>
      <c r="M57" s="2">
        <v>0</v>
      </c>
      <c r="N57" s="2">
        <v>4.0999999999999996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f>'Multiple Regression Outputs'!$B$14+G57*'Multiple Regression Outputs'!$B$15+H57*'Multiple Regression Outputs'!$B$16+I57*'Multiple Regression Outputs'!$B$17+J57*'Multiple Regression Outputs'!$B$18+K57*'Multiple Regression Outputs'!$B$19+L57*'Multiple Regression Outputs'!$B$20+M57*'Multiple Regression Outputs'!$B$21+N57*'Multiple Regression Outputs'!$B$22+O57*'Multiple Regression Outputs'!$B$23+P57*'Multiple Regression Outputs'!$B$24+Q57*'Multiple Regression Outputs'!$B$25+R57*'Multiple Regression Outputs'!$B$26+S57*'Multiple Regression Outputs'!$B$27+T57*'Multiple Regression Outputs'!$B$28</f>
        <v>564482.66756867536</v>
      </c>
      <c r="V57" s="2">
        <f t="shared" si="0"/>
        <v>-77017.757568675384</v>
      </c>
    </row>
    <row r="58" spans="1:22" ht="15" customHeight="1">
      <c r="A58" s="2">
        <v>57</v>
      </c>
      <c r="B58" s="2" t="s">
        <v>40</v>
      </c>
      <c r="C58" s="2" t="s">
        <v>15</v>
      </c>
      <c r="D58" s="2" t="s">
        <v>16</v>
      </c>
      <c r="E58" s="2" t="s">
        <v>25</v>
      </c>
      <c r="F58" s="2">
        <v>518049.26</v>
      </c>
      <c r="G58" s="2">
        <v>19365.060000000001</v>
      </c>
      <c r="H58" s="2">
        <v>2378</v>
      </c>
      <c r="I58" s="2">
        <v>0</v>
      </c>
      <c r="J58" s="2">
        <v>12</v>
      </c>
      <c r="K58" s="2">
        <v>94.8</v>
      </c>
      <c r="L58" s="2">
        <v>0.2</v>
      </c>
      <c r="M58" s="2">
        <v>0</v>
      </c>
      <c r="N58" s="2">
        <v>3.5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f>'Multiple Regression Outputs'!$B$14+G58*'Multiple Regression Outputs'!$B$15+H58*'Multiple Regression Outputs'!$B$16+I58*'Multiple Regression Outputs'!$B$17+J58*'Multiple Regression Outputs'!$B$18+K58*'Multiple Regression Outputs'!$B$19+L58*'Multiple Regression Outputs'!$B$20+M58*'Multiple Regression Outputs'!$B$21+N58*'Multiple Regression Outputs'!$B$22+O58*'Multiple Regression Outputs'!$B$23+P58*'Multiple Regression Outputs'!$B$24+Q58*'Multiple Regression Outputs'!$B$25+R58*'Multiple Regression Outputs'!$B$26+S58*'Multiple Regression Outputs'!$B$27+T58*'Multiple Regression Outputs'!$B$28</f>
        <v>550248.77204555634</v>
      </c>
      <c r="V58" s="2">
        <f t="shared" si="0"/>
        <v>-32199.51204555633</v>
      </c>
    </row>
    <row r="59" spans="1:22" ht="15" customHeight="1">
      <c r="A59" s="2">
        <v>58</v>
      </c>
      <c r="B59" s="2" t="s">
        <v>40</v>
      </c>
      <c r="C59" s="2" t="s">
        <v>18</v>
      </c>
      <c r="D59" s="2" t="s">
        <v>16</v>
      </c>
      <c r="E59" s="2" t="s">
        <v>25</v>
      </c>
      <c r="F59" s="2">
        <v>500298.48</v>
      </c>
      <c r="G59" s="2">
        <v>59405.68</v>
      </c>
      <c r="H59" s="2">
        <v>2515</v>
      </c>
      <c r="I59" s="2">
        <v>3.9E-2</v>
      </c>
      <c r="J59" s="2">
        <v>12</v>
      </c>
      <c r="K59" s="2">
        <v>76</v>
      </c>
      <c r="L59" s="2">
        <v>5.1100000000000003</v>
      </c>
      <c r="M59" s="2">
        <v>0</v>
      </c>
      <c r="N59" s="2">
        <v>3.7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f>'Multiple Regression Outputs'!$B$14+G59*'Multiple Regression Outputs'!$B$15+H59*'Multiple Regression Outputs'!$B$16+I59*'Multiple Regression Outputs'!$B$17+J59*'Multiple Regression Outputs'!$B$18+K59*'Multiple Regression Outputs'!$B$19+L59*'Multiple Regression Outputs'!$B$20+M59*'Multiple Regression Outputs'!$B$21+N59*'Multiple Regression Outputs'!$B$22+O59*'Multiple Regression Outputs'!$B$23+P59*'Multiple Regression Outputs'!$B$24+Q59*'Multiple Regression Outputs'!$B$25+R59*'Multiple Regression Outputs'!$B$26+S59*'Multiple Regression Outputs'!$B$27+T59*'Multiple Regression Outputs'!$B$28</f>
        <v>528882.86396198347</v>
      </c>
      <c r="V59" s="2">
        <f t="shared" si="0"/>
        <v>-28584.383961983491</v>
      </c>
    </row>
    <row r="60" spans="1:22" ht="15" customHeight="1">
      <c r="A60" s="2">
        <v>59</v>
      </c>
      <c r="B60" s="2" t="s">
        <v>40</v>
      </c>
      <c r="C60" s="2" t="s">
        <v>19</v>
      </c>
      <c r="D60" s="2" t="s">
        <v>16</v>
      </c>
      <c r="E60" s="2" t="s">
        <v>25</v>
      </c>
      <c r="F60" s="2">
        <v>617291.15</v>
      </c>
      <c r="G60" s="2">
        <v>118910.48</v>
      </c>
      <c r="H60" s="2">
        <v>4022</v>
      </c>
      <c r="I60" s="2">
        <v>0.13700000000000001</v>
      </c>
      <c r="J60" s="2">
        <v>11</v>
      </c>
      <c r="K60" s="2">
        <v>87.1</v>
      </c>
      <c r="L60" s="2">
        <v>0.2</v>
      </c>
      <c r="M60" s="2">
        <v>0</v>
      </c>
      <c r="N60" s="2">
        <v>3.1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f>'Multiple Regression Outputs'!$B$14+G60*'Multiple Regression Outputs'!$B$15+H60*'Multiple Regression Outputs'!$B$16+I60*'Multiple Regression Outputs'!$B$17+J60*'Multiple Regression Outputs'!$B$18+K60*'Multiple Regression Outputs'!$B$19+L60*'Multiple Regression Outputs'!$B$20+M60*'Multiple Regression Outputs'!$B$21+N60*'Multiple Regression Outputs'!$B$22+O60*'Multiple Regression Outputs'!$B$23+P60*'Multiple Regression Outputs'!$B$24+Q60*'Multiple Regression Outputs'!$B$25+R60*'Multiple Regression Outputs'!$B$26+S60*'Multiple Regression Outputs'!$B$27+T60*'Multiple Regression Outputs'!$B$28</f>
        <v>677890.80196008831</v>
      </c>
      <c r="V60" s="2">
        <f t="shared" si="0"/>
        <v>-60599.651960088289</v>
      </c>
    </row>
    <row r="61" spans="1:22" ht="15" customHeight="1">
      <c r="A61" s="2">
        <v>60</v>
      </c>
      <c r="B61" s="2" t="s">
        <v>40</v>
      </c>
      <c r="C61" s="2" t="s">
        <v>20</v>
      </c>
      <c r="D61" s="2" t="s">
        <v>16</v>
      </c>
      <c r="E61" s="2" t="s">
        <v>25</v>
      </c>
      <c r="F61" s="2">
        <v>553756.43000000005</v>
      </c>
      <c r="G61" s="2">
        <v>52952.12</v>
      </c>
      <c r="H61" s="2">
        <v>4377</v>
      </c>
      <c r="I61" s="2">
        <v>9.1999999999999998E-2</v>
      </c>
      <c r="J61" s="2">
        <v>14</v>
      </c>
      <c r="K61" s="2">
        <v>88.6</v>
      </c>
      <c r="L61" s="2">
        <v>13.59</v>
      </c>
      <c r="M61" s="2">
        <v>0</v>
      </c>
      <c r="N61" s="2">
        <v>3.1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f>'Multiple Regression Outputs'!$B$14+G61*'Multiple Regression Outputs'!$B$15+H61*'Multiple Regression Outputs'!$B$16+I61*'Multiple Regression Outputs'!$B$17+J61*'Multiple Regression Outputs'!$B$18+K61*'Multiple Regression Outputs'!$B$19+L61*'Multiple Regression Outputs'!$B$20+M61*'Multiple Regression Outputs'!$B$21+N61*'Multiple Regression Outputs'!$B$22+O61*'Multiple Regression Outputs'!$B$23+P61*'Multiple Regression Outputs'!$B$24+Q61*'Multiple Regression Outputs'!$B$25+R61*'Multiple Regression Outputs'!$B$26+S61*'Multiple Regression Outputs'!$B$27+T61*'Multiple Regression Outputs'!$B$28</f>
        <v>578728.441762337</v>
      </c>
      <c r="V61" s="2">
        <f t="shared" si="0"/>
        <v>-24972.011762336944</v>
      </c>
    </row>
    <row r="62" spans="1:22" ht="15" customHeight="1">
      <c r="A62" s="2">
        <v>61</v>
      </c>
      <c r="B62" s="2" t="s">
        <v>41</v>
      </c>
      <c r="C62" s="2" t="s">
        <v>15</v>
      </c>
      <c r="D62" s="2" t="s">
        <v>28</v>
      </c>
      <c r="E62" s="2" t="s">
        <v>22</v>
      </c>
      <c r="F62" s="2">
        <v>749559.71</v>
      </c>
      <c r="G62" s="2">
        <v>74907.98</v>
      </c>
      <c r="H62" s="2">
        <v>5306</v>
      </c>
      <c r="I62" s="2">
        <v>6.2E-2</v>
      </c>
      <c r="J62" s="2">
        <v>16</v>
      </c>
      <c r="K62" s="2">
        <v>95.6</v>
      </c>
      <c r="L62" s="2">
        <v>1.02</v>
      </c>
      <c r="M62" s="2">
        <v>0</v>
      </c>
      <c r="N62" s="2">
        <v>3.7</v>
      </c>
      <c r="O62" s="2">
        <v>1</v>
      </c>
      <c r="P62" s="2">
        <v>0</v>
      </c>
      <c r="Q62" s="2">
        <v>0</v>
      </c>
      <c r="R62" s="2">
        <v>0</v>
      </c>
      <c r="S62" s="2">
        <v>1</v>
      </c>
      <c r="T62" s="2">
        <v>0</v>
      </c>
      <c r="U62" s="2">
        <f>'Multiple Regression Outputs'!$B$14+G62*'Multiple Regression Outputs'!$B$15+H62*'Multiple Regression Outputs'!$B$16+I62*'Multiple Regression Outputs'!$B$17+J62*'Multiple Regression Outputs'!$B$18+K62*'Multiple Regression Outputs'!$B$19+L62*'Multiple Regression Outputs'!$B$20+M62*'Multiple Regression Outputs'!$B$21+N62*'Multiple Regression Outputs'!$B$22+O62*'Multiple Regression Outputs'!$B$23+P62*'Multiple Regression Outputs'!$B$24+Q62*'Multiple Regression Outputs'!$B$25+R62*'Multiple Regression Outputs'!$B$26+S62*'Multiple Regression Outputs'!$B$27+T62*'Multiple Regression Outputs'!$B$28</f>
        <v>707714.77520113403</v>
      </c>
      <c r="V62" s="2">
        <f t="shared" si="0"/>
        <v>41844.934798865928</v>
      </c>
    </row>
    <row r="63" spans="1:22" ht="15" customHeight="1">
      <c r="A63" s="2">
        <v>62</v>
      </c>
      <c r="B63" s="2" t="s">
        <v>41</v>
      </c>
      <c r="C63" s="2" t="s">
        <v>18</v>
      </c>
      <c r="D63" s="2" t="s">
        <v>28</v>
      </c>
      <c r="E63" s="2" t="s">
        <v>22</v>
      </c>
      <c r="F63" s="2">
        <v>615966.48</v>
      </c>
      <c r="G63" s="2">
        <v>37284.660000000003</v>
      </c>
      <c r="H63" s="2">
        <v>3928</v>
      </c>
      <c r="I63" s="2">
        <v>7.3999999999999996E-2</v>
      </c>
      <c r="J63" s="2">
        <v>12</v>
      </c>
      <c r="K63" s="2">
        <v>86.5</v>
      </c>
      <c r="L63" s="2">
        <v>1.64</v>
      </c>
      <c r="M63" s="2">
        <v>0</v>
      </c>
      <c r="N63" s="2">
        <v>3.8</v>
      </c>
      <c r="O63" s="2">
        <v>1</v>
      </c>
      <c r="P63" s="2">
        <v>0</v>
      </c>
      <c r="Q63" s="2">
        <v>0</v>
      </c>
      <c r="R63" s="2">
        <v>0</v>
      </c>
      <c r="S63" s="2">
        <v>1</v>
      </c>
      <c r="T63" s="2">
        <v>0</v>
      </c>
      <c r="U63" s="2">
        <f>'Multiple Regression Outputs'!$B$14+G63*'Multiple Regression Outputs'!$B$15+H63*'Multiple Regression Outputs'!$B$16+I63*'Multiple Regression Outputs'!$B$17+J63*'Multiple Regression Outputs'!$B$18+K63*'Multiple Regression Outputs'!$B$19+L63*'Multiple Regression Outputs'!$B$20+M63*'Multiple Regression Outputs'!$B$21+N63*'Multiple Regression Outputs'!$B$22+O63*'Multiple Regression Outputs'!$B$23+P63*'Multiple Regression Outputs'!$B$24+Q63*'Multiple Regression Outputs'!$B$25+R63*'Multiple Regression Outputs'!$B$26+S63*'Multiple Regression Outputs'!$B$27+T63*'Multiple Regression Outputs'!$B$28</f>
        <v>581248.66309963504</v>
      </c>
      <c r="V63" s="2">
        <f t="shared" si="0"/>
        <v>34717.816900364938</v>
      </c>
    </row>
    <row r="64" spans="1:22" ht="15" customHeight="1">
      <c r="A64" s="2">
        <v>63</v>
      </c>
      <c r="B64" s="2" t="s">
        <v>41</v>
      </c>
      <c r="C64" s="2" t="s">
        <v>19</v>
      </c>
      <c r="D64" s="2" t="s">
        <v>28</v>
      </c>
      <c r="E64" s="2" t="s">
        <v>22</v>
      </c>
      <c r="F64" s="2">
        <v>572011.19999999995</v>
      </c>
      <c r="G64" s="2">
        <v>50343.19</v>
      </c>
      <c r="H64" s="2">
        <v>3845</v>
      </c>
      <c r="I64" s="2">
        <v>0.113</v>
      </c>
      <c r="J64" s="2">
        <v>9</v>
      </c>
      <c r="K64" s="2">
        <v>88.7</v>
      </c>
      <c r="L64" s="2">
        <v>5.15</v>
      </c>
      <c r="M64" s="2">
        <v>0</v>
      </c>
      <c r="N64" s="2">
        <v>3.3</v>
      </c>
      <c r="O64" s="2">
        <v>1</v>
      </c>
      <c r="P64" s="2">
        <v>0</v>
      </c>
      <c r="Q64" s="2">
        <v>0</v>
      </c>
      <c r="R64" s="2">
        <v>0</v>
      </c>
      <c r="S64" s="2">
        <v>1</v>
      </c>
      <c r="T64" s="2">
        <v>0</v>
      </c>
      <c r="U64" s="2">
        <f>'Multiple Regression Outputs'!$B$14+G64*'Multiple Regression Outputs'!$B$15+H64*'Multiple Regression Outputs'!$B$16+I64*'Multiple Regression Outputs'!$B$17+J64*'Multiple Regression Outputs'!$B$18+K64*'Multiple Regression Outputs'!$B$19+L64*'Multiple Regression Outputs'!$B$20+M64*'Multiple Regression Outputs'!$B$21+N64*'Multiple Regression Outputs'!$B$22+O64*'Multiple Regression Outputs'!$B$23+P64*'Multiple Regression Outputs'!$B$24+Q64*'Multiple Regression Outputs'!$B$25+R64*'Multiple Regression Outputs'!$B$26+S64*'Multiple Regression Outputs'!$B$27+T64*'Multiple Regression Outputs'!$B$28</f>
        <v>571060.33935661253</v>
      </c>
      <c r="V64" s="2">
        <f t="shared" si="0"/>
        <v>950.8606433874229</v>
      </c>
    </row>
    <row r="65" spans="1:22" ht="15" customHeight="1">
      <c r="A65" s="2">
        <v>64</v>
      </c>
      <c r="B65" s="2" t="s">
        <v>41</v>
      </c>
      <c r="C65" s="2" t="s">
        <v>20</v>
      </c>
      <c r="D65" s="2" t="s">
        <v>28</v>
      </c>
      <c r="E65" s="2" t="s">
        <v>22</v>
      </c>
      <c r="F65" s="2">
        <v>761860.19</v>
      </c>
      <c r="G65" s="2">
        <v>74954.47</v>
      </c>
      <c r="H65" s="2">
        <v>6620</v>
      </c>
      <c r="I65" s="2">
        <v>5.3999999999999999E-2</v>
      </c>
      <c r="J65" s="2">
        <v>17</v>
      </c>
      <c r="K65" s="2">
        <v>91.1</v>
      </c>
      <c r="L65" s="2">
        <v>1.1100000000000001</v>
      </c>
      <c r="M65" s="2">
        <v>0</v>
      </c>
      <c r="N65" s="2">
        <v>3.5</v>
      </c>
      <c r="O65" s="2">
        <v>1</v>
      </c>
      <c r="P65" s="2">
        <v>0</v>
      </c>
      <c r="Q65" s="2">
        <v>0</v>
      </c>
      <c r="R65" s="2">
        <v>0</v>
      </c>
      <c r="S65" s="2">
        <v>1</v>
      </c>
      <c r="T65" s="2">
        <v>0</v>
      </c>
      <c r="U65" s="2">
        <f>'Multiple Regression Outputs'!$B$14+G65*'Multiple Regression Outputs'!$B$15+H65*'Multiple Regression Outputs'!$B$16+I65*'Multiple Regression Outputs'!$B$17+J65*'Multiple Regression Outputs'!$B$18+K65*'Multiple Regression Outputs'!$B$19+L65*'Multiple Regression Outputs'!$B$20+M65*'Multiple Regression Outputs'!$B$21+N65*'Multiple Regression Outputs'!$B$22+O65*'Multiple Regression Outputs'!$B$23+P65*'Multiple Regression Outputs'!$B$24+Q65*'Multiple Regression Outputs'!$B$25+R65*'Multiple Regression Outputs'!$B$26+S65*'Multiple Regression Outputs'!$B$27+T65*'Multiple Regression Outputs'!$B$28</f>
        <v>730937.8608606339</v>
      </c>
      <c r="V65" s="2">
        <f t="shared" si="0"/>
        <v>30922.329139366047</v>
      </c>
    </row>
    <row r="66" spans="1:22" ht="15" customHeight="1">
      <c r="A66" s="2">
        <v>65</v>
      </c>
      <c r="B66" s="2" t="s">
        <v>42</v>
      </c>
      <c r="C66" s="2" t="s">
        <v>15</v>
      </c>
      <c r="D66" s="2" t="s">
        <v>31</v>
      </c>
      <c r="E66" s="2" t="s">
        <v>22</v>
      </c>
      <c r="F66" s="2">
        <v>784502.68</v>
      </c>
      <c r="G66" s="2">
        <v>70040.31</v>
      </c>
      <c r="H66" s="2">
        <v>9175</v>
      </c>
      <c r="I66" s="2">
        <v>0.107</v>
      </c>
      <c r="J66" s="2">
        <v>23</v>
      </c>
      <c r="K66" s="2">
        <v>95.1</v>
      </c>
      <c r="L66" s="2">
        <v>6.08</v>
      </c>
      <c r="M66" s="2">
        <v>1</v>
      </c>
      <c r="N66" s="2">
        <v>3.4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1</v>
      </c>
      <c r="U66" s="2">
        <f>'Multiple Regression Outputs'!$B$14+G66*'Multiple Regression Outputs'!$B$15+H66*'Multiple Regression Outputs'!$B$16+I66*'Multiple Regression Outputs'!$B$17+J66*'Multiple Regression Outputs'!$B$18+K66*'Multiple Regression Outputs'!$B$19+L66*'Multiple Regression Outputs'!$B$20+M66*'Multiple Regression Outputs'!$B$21+N66*'Multiple Regression Outputs'!$B$22+O66*'Multiple Regression Outputs'!$B$23+P66*'Multiple Regression Outputs'!$B$24+Q66*'Multiple Regression Outputs'!$B$25+R66*'Multiple Regression Outputs'!$B$26+S66*'Multiple Regression Outputs'!$B$27+T66*'Multiple Regression Outputs'!$B$28</f>
        <v>826970.20370479755</v>
      </c>
      <c r="V66" s="2">
        <f t="shared" ref="V66:V129" si="1">F66-U66</f>
        <v>-42467.523704797495</v>
      </c>
    </row>
    <row r="67" spans="1:22" ht="15" customHeight="1">
      <c r="A67" s="2">
        <v>66</v>
      </c>
      <c r="B67" s="2" t="s">
        <v>42</v>
      </c>
      <c r="C67" s="2" t="s">
        <v>18</v>
      </c>
      <c r="D67" s="2" t="s">
        <v>31</v>
      </c>
      <c r="E67" s="2" t="s">
        <v>22</v>
      </c>
      <c r="F67" s="2">
        <v>717141.55</v>
      </c>
      <c r="G67" s="2">
        <v>51148.69</v>
      </c>
      <c r="H67" s="2">
        <v>7940</v>
      </c>
      <c r="I67" s="2">
        <v>0.156</v>
      </c>
      <c r="J67" s="2">
        <v>18</v>
      </c>
      <c r="K67" s="2">
        <v>93.3</v>
      </c>
      <c r="L67" s="2">
        <v>10.91</v>
      </c>
      <c r="M67" s="2">
        <v>0</v>
      </c>
      <c r="N67" s="2">
        <v>3.6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  <c r="T67" s="2">
        <v>1</v>
      </c>
      <c r="U67" s="2">
        <f>'Multiple Regression Outputs'!$B$14+G67*'Multiple Regression Outputs'!$B$15+H67*'Multiple Regression Outputs'!$B$16+I67*'Multiple Regression Outputs'!$B$17+J67*'Multiple Regression Outputs'!$B$18+K67*'Multiple Regression Outputs'!$B$19+L67*'Multiple Regression Outputs'!$B$20+M67*'Multiple Regression Outputs'!$B$21+N67*'Multiple Regression Outputs'!$B$22+O67*'Multiple Regression Outputs'!$B$23+P67*'Multiple Regression Outputs'!$B$24+Q67*'Multiple Regression Outputs'!$B$25+R67*'Multiple Regression Outputs'!$B$26+S67*'Multiple Regression Outputs'!$B$27+T67*'Multiple Regression Outputs'!$B$28</f>
        <v>716016.14895647194</v>
      </c>
      <c r="V67" s="2">
        <f t="shared" si="1"/>
        <v>1125.4010435281089</v>
      </c>
    </row>
    <row r="68" spans="1:22" ht="15" customHeight="1">
      <c r="A68" s="2">
        <v>67</v>
      </c>
      <c r="B68" s="2" t="s">
        <v>42</v>
      </c>
      <c r="C68" s="2" t="s">
        <v>19</v>
      </c>
      <c r="D68" s="2" t="s">
        <v>31</v>
      </c>
      <c r="E68" s="2" t="s">
        <v>22</v>
      </c>
      <c r="F68" s="2">
        <v>685379.08</v>
      </c>
      <c r="G68" s="2">
        <v>79346.100000000006</v>
      </c>
      <c r="H68" s="2">
        <v>9628</v>
      </c>
      <c r="I68" s="2">
        <v>0.10199999999999999</v>
      </c>
      <c r="J68" s="2">
        <v>20</v>
      </c>
      <c r="K68" s="2">
        <v>99</v>
      </c>
      <c r="L68" s="2">
        <v>19.010000000000002</v>
      </c>
      <c r="M68" s="2">
        <v>1</v>
      </c>
      <c r="N68" s="2">
        <v>3.2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2">
        <f>'Multiple Regression Outputs'!$B$14+G68*'Multiple Regression Outputs'!$B$15+H68*'Multiple Regression Outputs'!$B$16+I68*'Multiple Regression Outputs'!$B$17+J68*'Multiple Regression Outputs'!$B$18+K68*'Multiple Regression Outputs'!$B$19+L68*'Multiple Regression Outputs'!$B$20+M68*'Multiple Regression Outputs'!$B$21+N68*'Multiple Regression Outputs'!$B$22+O68*'Multiple Regression Outputs'!$B$23+P68*'Multiple Regression Outputs'!$B$24+Q68*'Multiple Regression Outputs'!$B$25+R68*'Multiple Regression Outputs'!$B$26+S68*'Multiple Regression Outputs'!$B$27+T68*'Multiple Regression Outputs'!$B$28</f>
        <v>805279.85124378803</v>
      </c>
      <c r="V68" s="2">
        <f t="shared" si="1"/>
        <v>-119900.77124378807</v>
      </c>
    </row>
    <row r="69" spans="1:22" ht="15" customHeight="1">
      <c r="A69" s="2">
        <v>68</v>
      </c>
      <c r="B69" s="2" t="s">
        <v>42</v>
      </c>
      <c r="C69" s="2" t="s">
        <v>20</v>
      </c>
      <c r="D69" s="2" t="s">
        <v>31</v>
      </c>
      <c r="E69" s="2" t="s">
        <v>22</v>
      </c>
      <c r="F69" s="2">
        <v>740496.65</v>
      </c>
      <c r="G69" s="2">
        <v>42018.400000000001</v>
      </c>
      <c r="H69" s="2">
        <v>8296</v>
      </c>
      <c r="I69" s="2">
        <v>0.115</v>
      </c>
      <c r="J69" s="2">
        <v>17</v>
      </c>
      <c r="K69" s="2">
        <v>91.8</v>
      </c>
      <c r="L69" s="2">
        <v>0.77</v>
      </c>
      <c r="M69" s="2">
        <v>0</v>
      </c>
      <c r="N69" s="2">
        <v>3.4</v>
      </c>
      <c r="O69" s="2">
        <v>1</v>
      </c>
      <c r="P69" s="2">
        <v>0</v>
      </c>
      <c r="Q69" s="2">
        <v>0</v>
      </c>
      <c r="R69" s="2">
        <v>0</v>
      </c>
      <c r="S69" s="2">
        <v>0</v>
      </c>
      <c r="T69" s="2">
        <v>1</v>
      </c>
      <c r="U69" s="2">
        <f>'Multiple Regression Outputs'!$B$14+G69*'Multiple Regression Outputs'!$B$15+H69*'Multiple Regression Outputs'!$B$16+I69*'Multiple Regression Outputs'!$B$17+J69*'Multiple Regression Outputs'!$B$18+K69*'Multiple Regression Outputs'!$B$19+L69*'Multiple Regression Outputs'!$B$20+M69*'Multiple Regression Outputs'!$B$21+N69*'Multiple Regression Outputs'!$B$22+O69*'Multiple Regression Outputs'!$B$23+P69*'Multiple Regression Outputs'!$B$24+Q69*'Multiple Regression Outputs'!$B$25+R69*'Multiple Regression Outputs'!$B$26+S69*'Multiple Regression Outputs'!$B$27+T69*'Multiple Regression Outputs'!$B$28</f>
        <v>740650.61275955115</v>
      </c>
      <c r="V69" s="2">
        <f t="shared" si="1"/>
        <v>-153.96275955112651</v>
      </c>
    </row>
    <row r="70" spans="1:22" ht="15" customHeight="1">
      <c r="A70" s="2">
        <v>69</v>
      </c>
      <c r="B70" s="2" t="s">
        <v>43</v>
      </c>
      <c r="C70" s="2" t="s">
        <v>15</v>
      </c>
      <c r="D70" s="2" t="s">
        <v>16</v>
      </c>
      <c r="E70" s="2" t="s">
        <v>22</v>
      </c>
      <c r="F70" s="2">
        <v>661927.14</v>
      </c>
      <c r="G70" s="2">
        <v>70937.240000000005</v>
      </c>
      <c r="H70" s="2">
        <v>3595</v>
      </c>
      <c r="I70" s="2">
        <v>0.14099999999999999</v>
      </c>
      <c r="J70" s="2">
        <v>11</v>
      </c>
      <c r="K70" s="2">
        <v>88.9</v>
      </c>
      <c r="L70" s="2">
        <v>2.83</v>
      </c>
      <c r="M70" s="2">
        <v>1</v>
      </c>
      <c r="N70" s="2">
        <v>3.3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f>'Multiple Regression Outputs'!$B$14+G70*'Multiple Regression Outputs'!$B$15+H70*'Multiple Regression Outputs'!$B$16+I70*'Multiple Regression Outputs'!$B$17+J70*'Multiple Regression Outputs'!$B$18+K70*'Multiple Regression Outputs'!$B$19+L70*'Multiple Regression Outputs'!$B$20+M70*'Multiple Regression Outputs'!$B$21+N70*'Multiple Regression Outputs'!$B$22+O70*'Multiple Regression Outputs'!$B$23+P70*'Multiple Regression Outputs'!$B$24+Q70*'Multiple Regression Outputs'!$B$25+R70*'Multiple Regression Outputs'!$B$26+S70*'Multiple Regression Outputs'!$B$27+T70*'Multiple Regression Outputs'!$B$28</f>
        <v>597662.18267476512</v>
      </c>
      <c r="V70" s="2">
        <f t="shared" si="1"/>
        <v>64264.957325234893</v>
      </c>
    </row>
    <row r="71" spans="1:22" ht="15" customHeight="1">
      <c r="A71" s="2">
        <v>70</v>
      </c>
      <c r="B71" s="2" t="s">
        <v>43</v>
      </c>
      <c r="C71" s="2" t="s">
        <v>18</v>
      </c>
      <c r="D71" s="2" t="s">
        <v>16</v>
      </c>
      <c r="E71" s="2" t="s">
        <v>22</v>
      </c>
      <c r="F71" s="2">
        <v>479050.5</v>
      </c>
      <c r="G71" s="2">
        <v>36813.449999999997</v>
      </c>
      <c r="H71" s="2">
        <v>2834</v>
      </c>
      <c r="I71" s="2">
        <v>0.191</v>
      </c>
      <c r="J71" s="2">
        <v>11</v>
      </c>
      <c r="K71" s="2">
        <v>81.8</v>
      </c>
      <c r="L71" s="2">
        <v>2.33</v>
      </c>
      <c r="M71" s="2">
        <v>0</v>
      </c>
      <c r="N71" s="2">
        <v>3.3</v>
      </c>
      <c r="O71" s="2">
        <v>1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f>'Multiple Regression Outputs'!$B$14+G71*'Multiple Regression Outputs'!$B$15+H71*'Multiple Regression Outputs'!$B$16+I71*'Multiple Regression Outputs'!$B$17+J71*'Multiple Regression Outputs'!$B$18+K71*'Multiple Regression Outputs'!$B$19+L71*'Multiple Regression Outputs'!$B$20+M71*'Multiple Regression Outputs'!$B$21+N71*'Multiple Regression Outputs'!$B$22+O71*'Multiple Regression Outputs'!$B$23+P71*'Multiple Regression Outputs'!$B$24+Q71*'Multiple Regression Outputs'!$B$25+R71*'Multiple Regression Outputs'!$B$26+S71*'Multiple Regression Outputs'!$B$27+T71*'Multiple Regression Outputs'!$B$28</f>
        <v>498329.90884617018</v>
      </c>
      <c r="V71" s="2">
        <f t="shared" si="1"/>
        <v>-19279.408846170176</v>
      </c>
    </row>
    <row r="72" spans="1:22" ht="15" customHeight="1">
      <c r="A72" s="2">
        <v>71</v>
      </c>
      <c r="B72" s="2" t="s">
        <v>43</v>
      </c>
      <c r="C72" s="2" t="s">
        <v>19</v>
      </c>
      <c r="D72" s="2" t="s">
        <v>16</v>
      </c>
      <c r="E72" s="2" t="s">
        <v>22</v>
      </c>
      <c r="F72" s="2">
        <v>605023.87</v>
      </c>
      <c r="G72" s="2">
        <v>60571.82</v>
      </c>
      <c r="H72" s="2">
        <v>3193</v>
      </c>
      <c r="I72" s="2">
        <v>0.19700000000000001</v>
      </c>
      <c r="J72" s="2">
        <v>7</v>
      </c>
      <c r="K72" s="2">
        <v>99</v>
      </c>
      <c r="L72" s="2">
        <v>1.43</v>
      </c>
      <c r="M72" s="2">
        <v>0</v>
      </c>
      <c r="N72" s="2">
        <v>3.2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f>'Multiple Regression Outputs'!$B$14+G72*'Multiple Regression Outputs'!$B$15+H72*'Multiple Regression Outputs'!$B$16+I72*'Multiple Regression Outputs'!$B$17+J72*'Multiple Regression Outputs'!$B$18+K72*'Multiple Regression Outputs'!$B$19+L72*'Multiple Regression Outputs'!$B$20+M72*'Multiple Regression Outputs'!$B$21+N72*'Multiple Regression Outputs'!$B$22+O72*'Multiple Regression Outputs'!$B$23+P72*'Multiple Regression Outputs'!$B$24+Q72*'Multiple Regression Outputs'!$B$25+R72*'Multiple Regression Outputs'!$B$26+S72*'Multiple Regression Outputs'!$B$27+T72*'Multiple Regression Outputs'!$B$28</f>
        <v>577121.84392597026</v>
      </c>
      <c r="V72" s="2">
        <f t="shared" si="1"/>
        <v>27902.026074029738</v>
      </c>
    </row>
    <row r="73" spans="1:22" ht="15" customHeight="1">
      <c r="A73" s="2">
        <v>72</v>
      </c>
      <c r="B73" s="2" t="s">
        <v>43</v>
      </c>
      <c r="C73" s="2" t="s">
        <v>20</v>
      </c>
      <c r="D73" s="2" t="s">
        <v>16</v>
      </c>
      <c r="E73" s="2" t="s">
        <v>22</v>
      </c>
      <c r="F73" s="2">
        <v>674774.09</v>
      </c>
      <c r="G73" s="2">
        <v>55081.16</v>
      </c>
      <c r="H73" s="2">
        <v>5485</v>
      </c>
      <c r="I73" s="2">
        <v>3.5999999999999997E-2</v>
      </c>
      <c r="J73" s="2">
        <v>12</v>
      </c>
      <c r="K73" s="2">
        <v>88</v>
      </c>
      <c r="L73" s="2">
        <v>3.3650000000000002</v>
      </c>
      <c r="M73" s="2">
        <v>0</v>
      </c>
      <c r="N73" s="2">
        <v>3.5</v>
      </c>
      <c r="O73" s="2">
        <v>1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f>'Multiple Regression Outputs'!$B$14+G73*'Multiple Regression Outputs'!$B$15+H73*'Multiple Regression Outputs'!$B$16+I73*'Multiple Regression Outputs'!$B$17+J73*'Multiple Regression Outputs'!$B$18+K73*'Multiple Regression Outputs'!$B$19+L73*'Multiple Regression Outputs'!$B$20+M73*'Multiple Regression Outputs'!$B$21+N73*'Multiple Regression Outputs'!$B$22+O73*'Multiple Regression Outputs'!$B$23+P73*'Multiple Regression Outputs'!$B$24+Q73*'Multiple Regression Outputs'!$B$25+R73*'Multiple Regression Outputs'!$B$26+S73*'Multiple Regression Outputs'!$B$27+T73*'Multiple Regression Outputs'!$B$28</f>
        <v>620731.02569285012</v>
      </c>
      <c r="V73" s="2">
        <f t="shared" si="1"/>
        <v>54043.064307149849</v>
      </c>
    </row>
    <row r="74" spans="1:22" ht="15" customHeight="1">
      <c r="A74" s="2">
        <v>73</v>
      </c>
      <c r="B74" s="2" t="s">
        <v>44</v>
      </c>
      <c r="C74" s="2" t="s">
        <v>15</v>
      </c>
      <c r="D74" s="2" t="s">
        <v>16</v>
      </c>
      <c r="E74" s="2" t="s">
        <v>17</v>
      </c>
      <c r="F74" s="2">
        <v>616069.41</v>
      </c>
      <c r="G74" s="2">
        <v>46201.46</v>
      </c>
      <c r="H74" s="2">
        <v>5918</v>
      </c>
      <c r="I74" s="2">
        <v>0.27700000000000002</v>
      </c>
      <c r="J74" s="2">
        <v>13</v>
      </c>
      <c r="K74" s="2">
        <v>78.8</v>
      </c>
      <c r="L74" s="2">
        <v>4.91</v>
      </c>
      <c r="M74" s="2">
        <v>0</v>
      </c>
      <c r="N74" s="2">
        <v>4.5</v>
      </c>
      <c r="O74" s="2">
        <v>0</v>
      </c>
      <c r="P74" s="2">
        <v>0</v>
      </c>
      <c r="Q74" s="2">
        <v>1</v>
      </c>
      <c r="R74" s="2">
        <v>0</v>
      </c>
      <c r="S74" s="2">
        <v>0</v>
      </c>
      <c r="T74" s="2">
        <v>0</v>
      </c>
      <c r="U74" s="2">
        <f>'Multiple Regression Outputs'!$B$14+G74*'Multiple Regression Outputs'!$B$15+H74*'Multiple Regression Outputs'!$B$16+I74*'Multiple Regression Outputs'!$B$17+J74*'Multiple Regression Outputs'!$B$18+K74*'Multiple Regression Outputs'!$B$19+L74*'Multiple Regression Outputs'!$B$20+M74*'Multiple Regression Outputs'!$B$21+N74*'Multiple Regression Outputs'!$B$22+O74*'Multiple Regression Outputs'!$B$23+P74*'Multiple Regression Outputs'!$B$24+Q74*'Multiple Regression Outputs'!$B$25+R74*'Multiple Regression Outputs'!$B$26+S74*'Multiple Regression Outputs'!$B$27+T74*'Multiple Regression Outputs'!$B$28</f>
        <v>574198.58719516802</v>
      </c>
      <c r="V74" s="2">
        <f t="shared" si="1"/>
        <v>41870.822804832016</v>
      </c>
    </row>
    <row r="75" spans="1:22" ht="15" customHeight="1">
      <c r="A75" s="2">
        <v>74</v>
      </c>
      <c r="B75" s="2" t="s">
        <v>44</v>
      </c>
      <c r="C75" s="2" t="s">
        <v>18</v>
      </c>
      <c r="D75" s="2" t="s">
        <v>16</v>
      </c>
      <c r="E75" s="2" t="s">
        <v>17</v>
      </c>
      <c r="F75" s="2">
        <v>630829.93999999994</v>
      </c>
      <c r="G75" s="2">
        <v>53762.92</v>
      </c>
      <c r="H75" s="2">
        <v>6821</v>
      </c>
      <c r="I75" s="2">
        <v>6.6000000000000003E-2</v>
      </c>
      <c r="J75" s="2">
        <v>19</v>
      </c>
      <c r="K75" s="2">
        <v>94.6</v>
      </c>
      <c r="L75" s="2">
        <v>7.03</v>
      </c>
      <c r="M75" s="2">
        <v>0</v>
      </c>
      <c r="N75" s="2">
        <v>4.4000000000000004</v>
      </c>
      <c r="O75" s="2">
        <v>0</v>
      </c>
      <c r="P75" s="2">
        <v>0</v>
      </c>
      <c r="Q75" s="2">
        <v>1</v>
      </c>
      <c r="R75" s="2">
        <v>0</v>
      </c>
      <c r="S75" s="2">
        <v>0</v>
      </c>
      <c r="T75" s="2">
        <v>0</v>
      </c>
      <c r="U75" s="2">
        <f>'Multiple Regression Outputs'!$B$14+G75*'Multiple Regression Outputs'!$B$15+H75*'Multiple Regression Outputs'!$B$16+I75*'Multiple Regression Outputs'!$B$17+J75*'Multiple Regression Outputs'!$B$18+K75*'Multiple Regression Outputs'!$B$19+L75*'Multiple Regression Outputs'!$B$20+M75*'Multiple Regression Outputs'!$B$21+N75*'Multiple Regression Outputs'!$B$22+O75*'Multiple Regression Outputs'!$B$23+P75*'Multiple Regression Outputs'!$B$24+Q75*'Multiple Regression Outputs'!$B$25+R75*'Multiple Regression Outputs'!$B$26+S75*'Multiple Regression Outputs'!$B$27+T75*'Multiple Regression Outputs'!$B$28</f>
        <v>677627.88400432456</v>
      </c>
      <c r="V75" s="2">
        <f t="shared" si="1"/>
        <v>-46797.944004324614</v>
      </c>
    </row>
    <row r="76" spans="1:22" ht="15" customHeight="1">
      <c r="A76" s="2">
        <v>75</v>
      </c>
      <c r="B76" s="2" t="s">
        <v>44</v>
      </c>
      <c r="C76" s="2" t="s">
        <v>19</v>
      </c>
      <c r="D76" s="2" t="s">
        <v>16</v>
      </c>
      <c r="E76" s="2" t="s">
        <v>17</v>
      </c>
      <c r="F76" s="2">
        <v>788087.68</v>
      </c>
      <c r="G76" s="2">
        <v>70144.78</v>
      </c>
      <c r="H76" s="2">
        <v>6806</v>
      </c>
      <c r="I76" s="2">
        <v>0.17799999999999999</v>
      </c>
      <c r="J76" s="2">
        <v>20</v>
      </c>
      <c r="K76" s="2">
        <v>93.1</v>
      </c>
      <c r="L76" s="2">
        <v>0.28000000000000003</v>
      </c>
      <c r="M76" s="2">
        <v>1</v>
      </c>
      <c r="N76" s="2">
        <v>4.3</v>
      </c>
      <c r="O76" s="2">
        <v>0</v>
      </c>
      <c r="P76" s="2">
        <v>0</v>
      </c>
      <c r="Q76" s="2">
        <v>1</v>
      </c>
      <c r="R76" s="2">
        <v>0</v>
      </c>
      <c r="S76" s="2">
        <v>0</v>
      </c>
      <c r="T76" s="2">
        <v>0</v>
      </c>
      <c r="U76" s="2">
        <f>'Multiple Regression Outputs'!$B$14+G76*'Multiple Regression Outputs'!$B$15+H76*'Multiple Regression Outputs'!$B$16+I76*'Multiple Regression Outputs'!$B$17+J76*'Multiple Regression Outputs'!$B$18+K76*'Multiple Regression Outputs'!$B$19+L76*'Multiple Regression Outputs'!$B$20+M76*'Multiple Regression Outputs'!$B$21+N76*'Multiple Regression Outputs'!$B$22+O76*'Multiple Regression Outputs'!$B$23+P76*'Multiple Regression Outputs'!$B$24+Q76*'Multiple Regression Outputs'!$B$25+R76*'Multiple Regression Outputs'!$B$26+S76*'Multiple Regression Outputs'!$B$27+T76*'Multiple Regression Outputs'!$B$28</f>
        <v>728448.14086123928</v>
      </c>
      <c r="V76" s="2">
        <f t="shared" si="1"/>
        <v>59639.539138760767</v>
      </c>
    </row>
    <row r="77" spans="1:22" ht="15" customHeight="1">
      <c r="A77" s="2">
        <v>76</v>
      </c>
      <c r="B77" s="2" t="s">
        <v>44</v>
      </c>
      <c r="C77" s="2" t="s">
        <v>20</v>
      </c>
      <c r="D77" s="2" t="s">
        <v>16</v>
      </c>
      <c r="E77" s="2" t="s">
        <v>17</v>
      </c>
      <c r="F77" s="2">
        <v>680840.36</v>
      </c>
      <c r="G77" s="2">
        <v>58749.63</v>
      </c>
      <c r="H77" s="2">
        <v>8252</v>
      </c>
      <c r="I77" s="2">
        <v>0.20300000000000001</v>
      </c>
      <c r="J77" s="2">
        <v>20</v>
      </c>
      <c r="K77" s="2">
        <v>85.2</v>
      </c>
      <c r="L77" s="2">
        <v>3.61</v>
      </c>
      <c r="M77" s="2">
        <v>0</v>
      </c>
      <c r="N77" s="2">
        <v>4.5</v>
      </c>
      <c r="O77" s="2">
        <v>0</v>
      </c>
      <c r="P77" s="2">
        <v>0</v>
      </c>
      <c r="Q77" s="2">
        <v>1</v>
      </c>
      <c r="R77" s="2">
        <v>0</v>
      </c>
      <c r="S77" s="2">
        <v>0</v>
      </c>
      <c r="T77" s="2">
        <v>0</v>
      </c>
      <c r="U77" s="2">
        <f>'Multiple Regression Outputs'!$B$14+G77*'Multiple Regression Outputs'!$B$15+H77*'Multiple Regression Outputs'!$B$16+I77*'Multiple Regression Outputs'!$B$17+J77*'Multiple Regression Outputs'!$B$18+K77*'Multiple Regression Outputs'!$B$19+L77*'Multiple Regression Outputs'!$B$20+M77*'Multiple Regression Outputs'!$B$21+N77*'Multiple Regression Outputs'!$B$22+O77*'Multiple Regression Outputs'!$B$23+P77*'Multiple Regression Outputs'!$B$24+Q77*'Multiple Regression Outputs'!$B$25+R77*'Multiple Regression Outputs'!$B$26+S77*'Multiple Regression Outputs'!$B$27+T77*'Multiple Regression Outputs'!$B$28</f>
        <v>704862.12756933412</v>
      </c>
      <c r="V77" s="2">
        <f t="shared" si="1"/>
        <v>-24021.76756933413</v>
      </c>
    </row>
    <row r="78" spans="1:22" ht="15" customHeight="1">
      <c r="A78" s="2">
        <v>77</v>
      </c>
      <c r="B78" s="2" t="s">
        <v>45</v>
      </c>
      <c r="C78" s="2" t="s">
        <v>15</v>
      </c>
      <c r="D78" s="2" t="s">
        <v>28</v>
      </c>
      <c r="E78" s="2" t="s">
        <v>22</v>
      </c>
      <c r="F78" s="2">
        <v>643657.47</v>
      </c>
      <c r="G78" s="2">
        <v>56973.18</v>
      </c>
      <c r="H78" s="2">
        <v>6662</v>
      </c>
      <c r="I78" s="2">
        <v>0.1</v>
      </c>
      <c r="J78" s="2">
        <v>15</v>
      </c>
      <c r="K78" s="2">
        <v>77.7</v>
      </c>
      <c r="L78" s="2">
        <v>7.52</v>
      </c>
      <c r="M78" s="2">
        <v>1</v>
      </c>
      <c r="N78" s="2">
        <v>3.2</v>
      </c>
      <c r="O78" s="2">
        <v>1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f>'Multiple Regression Outputs'!$B$14+G78*'Multiple Regression Outputs'!$B$15+H78*'Multiple Regression Outputs'!$B$16+I78*'Multiple Regression Outputs'!$B$17+J78*'Multiple Regression Outputs'!$B$18+K78*'Multiple Regression Outputs'!$B$19+L78*'Multiple Regression Outputs'!$B$20+M78*'Multiple Regression Outputs'!$B$21+N78*'Multiple Regression Outputs'!$B$22+O78*'Multiple Regression Outputs'!$B$23+P78*'Multiple Regression Outputs'!$B$24+Q78*'Multiple Regression Outputs'!$B$25+R78*'Multiple Regression Outputs'!$B$26+S78*'Multiple Regression Outputs'!$B$27+T78*'Multiple Regression Outputs'!$B$28</f>
        <v>649748.48213380505</v>
      </c>
      <c r="V78" s="2">
        <f t="shared" si="1"/>
        <v>-6091.0121338050812</v>
      </c>
    </row>
    <row r="79" spans="1:22" ht="15" customHeight="1">
      <c r="A79" s="2">
        <v>78</v>
      </c>
      <c r="B79" s="2" t="s">
        <v>45</v>
      </c>
      <c r="C79" s="2" t="s">
        <v>18</v>
      </c>
      <c r="D79" s="2" t="s">
        <v>28</v>
      </c>
      <c r="E79" s="2" t="s">
        <v>22</v>
      </c>
      <c r="F79" s="2">
        <v>691112.6</v>
      </c>
      <c r="G79" s="2">
        <v>54872.82</v>
      </c>
      <c r="H79" s="2">
        <v>5962</v>
      </c>
      <c r="I79" s="2">
        <v>6.4000000000000001E-2</v>
      </c>
      <c r="J79" s="2">
        <v>12</v>
      </c>
      <c r="K79" s="2">
        <v>85.4</v>
      </c>
      <c r="L79" s="2">
        <v>2.58</v>
      </c>
      <c r="M79" s="2">
        <v>0</v>
      </c>
      <c r="N79" s="2">
        <v>2.9</v>
      </c>
      <c r="O79" s="2">
        <v>1</v>
      </c>
      <c r="P79" s="2">
        <v>0</v>
      </c>
      <c r="Q79" s="2">
        <v>0</v>
      </c>
      <c r="R79" s="2">
        <v>0</v>
      </c>
      <c r="S79" s="2">
        <v>1</v>
      </c>
      <c r="T79" s="2">
        <v>0</v>
      </c>
      <c r="U79" s="2">
        <f>'Multiple Regression Outputs'!$B$14+G79*'Multiple Regression Outputs'!$B$15+H79*'Multiple Regression Outputs'!$B$16+I79*'Multiple Regression Outputs'!$B$17+J79*'Multiple Regression Outputs'!$B$18+K79*'Multiple Regression Outputs'!$B$19+L79*'Multiple Regression Outputs'!$B$20+M79*'Multiple Regression Outputs'!$B$21+N79*'Multiple Regression Outputs'!$B$22+O79*'Multiple Regression Outputs'!$B$23+P79*'Multiple Regression Outputs'!$B$24+Q79*'Multiple Regression Outputs'!$B$25+R79*'Multiple Regression Outputs'!$B$26+S79*'Multiple Regression Outputs'!$B$27+T79*'Multiple Regression Outputs'!$B$28</f>
        <v>640684.56282501749</v>
      </c>
      <c r="V79" s="2">
        <f t="shared" si="1"/>
        <v>50428.037174982484</v>
      </c>
    </row>
    <row r="80" spans="1:22" ht="15" customHeight="1">
      <c r="A80" s="2">
        <v>79</v>
      </c>
      <c r="B80" s="2" t="s">
        <v>45</v>
      </c>
      <c r="C80" s="2" t="s">
        <v>19</v>
      </c>
      <c r="D80" s="2" t="s">
        <v>28</v>
      </c>
      <c r="E80" s="2" t="s">
        <v>22</v>
      </c>
      <c r="F80" s="2">
        <v>776922.17</v>
      </c>
      <c r="G80" s="2">
        <v>80562.81</v>
      </c>
      <c r="H80" s="2">
        <v>7470</v>
      </c>
      <c r="I80" s="2">
        <v>0.17199999999999999</v>
      </c>
      <c r="J80" s="2">
        <v>16</v>
      </c>
      <c r="K80" s="2">
        <v>83.5</v>
      </c>
      <c r="L80" s="2">
        <v>2.29</v>
      </c>
      <c r="M80" s="2">
        <v>0</v>
      </c>
      <c r="N80" s="2">
        <v>3.3</v>
      </c>
      <c r="O80" s="2">
        <v>1</v>
      </c>
      <c r="P80" s="2">
        <v>0</v>
      </c>
      <c r="Q80" s="2">
        <v>0</v>
      </c>
      <c r="R80" s="2">
        <v>0</v>
      </c>
      <c r="S80" s="2">
        <v>1</v>
      </c>
      <c r="T80" s="2">
        <v>0</v>
      </c>
      <c r="U80" s="2">
        <f>'Multiple Regression Outputs'!$B$14+G80*'Multiple Regression Outputs'!$B$15+H80*'Multiple Regression Outputs'!$B$16+I80*'Multiple Regression Outputs'!$B$17+J80*'Multiple Regression Outputs'!$B$18+K80*'Multiple Regression Outputs'!$B$19+L80*'Multiple Regression Outputs'!$B$20+M80*'Multiple Regression Outputs'!$B$21+N80*'Multiple Regression Outputs'!$B$22+O80*'Multiple Regression Outputs'!$B$23+P80*'Multiple Regression Outputs'!$B$24+Q80*'Multiple Regression Outputs'!$B$25+R80*'Multiple Regression Outputs'!$B$26+S80*'Multiple Regression Outputs'!$B$27+T80*'Multiple Regression Outputs'!$B$28</f>
        <v>722752.56832194002</v>
      </c>
      <c r="V80" s="2">
        <f t="shared" si="1"/>
        <v>54169.601678060018</v>
      </c>
    </row>
    <row r="81" spans="1:22" ht="15" customHeight="1">
      <c r="A81" s="2">
        <v>80</v>
      </c>
      <c r="B81" s="2" t="s">
        <v>45</v>
      </c>
      <c r="C81" s="2" t="s">
        <v>20</v>
      </c>
      <c r="D81" s="2" t="s">
        <v>28</v>
      </c>
      <c r="E81" s="2" t="s">
        <v>22</v>
      </c>
      <c r="F81" s="2">
        <v>636561.34</v>
      </c>
      <c r="G81" s="2">
        <v>77999.899999999994</v>
      </c>
      <c r="H81" s="2">
        <v>5974</v>
      </c>
      <c r="I81" s="2">
        <v>0.252</v>
      </c>
      <c r="J81" s="2">
        <v>14</v>
      </c>
      <c r="K81" s="2">
        <v>81.3</v>
      </c>
      <c r="L81" s="2">
        <v>2.39</v>
      </c>
      <c r="M81" s="2">
        <v>0</v>
      </c>
      <c r="N81" s="2">
        <v>3.2</v>
      </c>
      <c r="O81" s="2">
        <v>1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f>'Multiple Regression Outputs'!$B$14+G81*'Multiple Regression Outputs'!$B$15+H81*'Multiple Regression Outputs'!$B$16+I81*'Multiple Regression Outputs'!$B$17+J81*'Multiple Regression Outputs'!$B$18+K81*'Multiple Regression Outputs'!$B$19+L81*'Multiple Regression Outputs'!$B$20+M81*'Multiple Regression Outputs'!$B$21+N81*'Multiple Regression Outputs'!$B$22+O81*'Multiple Regression Outputs'!$B$23+P81*'Multiple Regression Outputs'!$B$24+Q81*'Multiple Regression Outputs'!$B$25+R81*'Multiple Regression Outputs'!$B$26+S81*'Multiple Regression Outputs'!$B$27+T81*'Multiple Regression Outputs'!$B$28</f>
        <v>660108.8132629313</v>
      </c>
      <c r="V81" s="2">
        <f t="shared" si="1"/>
        <v>-23547.473262931337</v>
      </c>
    </row>
    <row r="82" spans="1:22" ht="15" customHeight="1">
      <c r="A82" s="2">
        <v>81</v>
      </c>
      <c r="B82" s="2" t="s">
        <v>46</v>
      </c>
      <c r="C82" s="2" t="s">
        <v>15</v>
      </c>
      <c r="D82" s="2" t="s">
        <v>31</v>
      </c>
      <c r="E82" s="2" t="s">
        <v>32</v>
      </c>
      <c r="F82" s="2">
        <v>621369.57999999996</v>
      </c>
      <c r="G82" s="2">
        <v>60881.01</v>
      </c>
      <c r="H82" s="2">
        <v>5410</v>
      </c>
      <c r="I82" s="2">
        <v>0.17899999999999999</v>
      </c>
      <c r="J82" s="2">
        <v>15</v>
      </c>
      <c r="K82" s="2">
        <v>83.9</v>
      </c>
      <c r="L82" s="2">
        <v>5.24</v>
      </c>
      <c r="M82" s="2">
        <v>0</v>
      </c>
      <c r="N82" s="2">
        <v>4.5999999999999996</v>
      </c>
      <c r="O82" s="2">
        <v>0</v>
      </c>
      <c r="P82" s="2">
        <v>1</v>
      </c>
      <c r="Q82" s="2">
        <v>0</v>
      </c>
      <c r="R82" s="2">
        <v>0</v>
      </c>
      <c r="S82" s="2">
        <v>0</v>
      </c>
      <c r="T82" s="2">
        <v>1</v>
      </c>
      <c r="U82" s="2">
        <f>'Multiple Regression Outputs'!$B$14+G82*'Multiple Regression Outputs'!$B$15+H82*'Multiple Regression Outputs'!$B$16+I82*'Multiple Regression Outputs'!$B$17+J82*'Multiple Regression Outputs'!$B$18+K82*'Multiple Regression Outputs'!$B$19+L82*'Multiple Regression Outputs'!$B$20+M82*'Multiple Regression Outputs'!$B$21+N82*'Multiple Regression Outputs'!$B$22+O82*'Multiple Regression Outputs'!$B$23+P82*'Multiple Regression Outputs'!$B$24+Q82*'Multiple Regression Outputs'!$B$25+R82*'Multiple Regression Outputs'!$B$26+S82*'Multiple Regression Outputs'!$B$27+T82*'Multiple Regression Outputs'!$B$28</f>
        <v>662989.54833338677</v>
      </c>
      <c r="V82" s="2">
        <f t="shared" si="1"/>
        <v>-41619.968333386816</v>
      </c>
    </row>
    <row r="83" spans="1:22" ht="15" customHeight="1">
      <c r="A83" s="2">
        <v>82</v>
      </c>
      <c r="B83" s="2" t="s">
        <v>46</v>
      </c>
      <c r="C83" s="2" t="s">
        <v>18</v>
      </c>
      <c r="D83" s="2" t="s">
        <v>31</v>
      </c>
      <c r="E83" s="2" t="s">
        <v>32</v>
      </c>
      <c r="F83" s="2">
        <v>682208.01</v>
      </c>
      <c r="G83" s="2">
        <v>60628.38</v>
      </c>
      <c r="H83" s="2">
        <v>4451</v>
      </c>
      <c r="I83" s="2">
        <v>9.5000000000000001E-2</v>
      </c>
      <c r="J83" s="2">
        <v>10</v>
      </c>
      <c r="K83" s="2">
        <v>89.6</v>
      </c>
      <c r="L83" s="2">
        <v>3.17</v>
      </c>
      <c r="M83" s="2">
        <v>0</v>
      </c>
      <c r="N83" s="2">
        <v>4.5999999999999996</v>
      </c>
      <c r="O83" s="2">
        <v>0</v>
      </c>
      <c r="P83" s="2">
        <v>1</v>
      </c>
      <c r="Q83" s="2">
        <v>0</v>
      </c>
      <c r="R83" s="2">
        <v>0</v>
      </c>
      <c r="S83" s="2">
        <v>0</v>
      </c>
      <c r="T83" s="2">
        <v>1</v>
      </c>
      <c r="U83" s="2">
        <f>'Multiple Regression Outputs'!$B$14+G83*'Multiple Regression Outputs'!$B$15+H83*'Multiple Regression Outputs'!$B$16+I83*'Multiple Regression Outputs'!$B$17+J83*'Multiple Regression Outputs'!$B$18+K83*'Multiple Regression Outputs'!$B$19+L83*'Multiple Regression Outputs'!$B$20+M83*'Multiple Regression Outputs'!$B$21+N83*'Multiple Regression Outputs'!$B$22+O83*'Multiple Regression Outputs'!$B$23+P83*'Multiple Regression Outputs'!$B$24+Q83*'Multiple Regression Outputs'!$B$25+R83*'Multiple Regression Outputs'!$B$26+S83*'Multiple Regression Outputs'!$B$27+T83*'Multiple Regression Outputs'!$B$28</f>
        <v>646962.38395725517</v>
      </c>
      <c r="V83" s="2">
        <f t="shared" si="1"/>
        <v>35245.626042744843</v>
      </c>
    </row>
    <row r="84" spans="1:22" ht="15" customHeight="1">
      <c r="A84" s="2">
        <v>83</v>
      </c>
      <c r="B84" s="2" t="s">
        <v>46</v>
      </c>
      <c r="C84" s="2" t="s">
        <v>19</v>
      </c>
      <c r="D84" s="2" t="s">
        <v>31</v>
      </c>
      <c r="E84" s="2" t="s">
        <v>32</v>
      </c>
      <c r="F84" s="2">
        <v>727241.86</v>
      </c>
      <c r="G84" s="2">
        <v>72731.14</v>
      </c>
      <c r="H84" s="2">
        <v>4644</v>
      </c>
      <c r="I84" s="2">
        <v>8.4000000000000005E-2</v>
      </c>
      <c r="J84" s="2">
        <v>15</v>
      </c>
      <c r="K84" s="2">
        <v>87.1</v>
      </c>
      <c r="L84" s="2">
        <v>2.66</v>
      </c>
      <c r="M84" s="2">
        <v>0</v>
      </c>
      <c r="N84" s="2">
        <v>4.5999999999999996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1</v>
      </c>
      <c r="U84" s="2">
        <f>'Multiple Regression Outputs'!$B$14+G84*'Multiple Regression Outputs'!$B$15+H84*'Multiple Regression Outputs'!$B$16+I84*'Multiple Regression Outputs'!$B$17+J84*'Multiple Regression Outputs'!$B$18+K84*'Multiple Regression Outputs'!$B$19+L84*'Multiple Regression Outputs'!$B$20+M84*'Multiple Regression Outputs'!$B$21+N84*'Multiple Regression Outputs'!$B$22+O84*'Multiple Regression Outputs'!$B$23+P84*'Multiple Regression Outputs'!$B$24+Q84*'Multiple Regression Outputs'!$B$25+R84*'Multiple Regression Outputs'!$B$26+S84*'Multiple Regression Outputs'!$B$27+T84*'Multiple Regression Outputs'!$B$28</f>
        <v>678975.32348789205</v>
      </c>
      <c r="V84" s="2">
        <f t="shared" si="1"/>
        <v>48266.536512107938</v>
      </c>
    </row>
    <row r="85" spans="1:22" ht="15" customHeight="1">
      <c r="A85" s="2">
        <v>84</v>
      </c>
      <c r="B85" s="2" t="s">
        <v>46</v>
      </c>
      <c r="C85" s="2" t="s">
        <v>20</v>
      </c>
      <c r="D85" s="2" t="s">
        <v>31</v>
      </c>
      <c r="E85" s="2" t="s">
        <v>32</v>
      </c>
      <c r="F85" s="2">
        <v>569100.78</v>
      </c>
      <c r="G85" s="2">
        <v>36475.71</v>
      </c>
      <c r="H85" s="2">
        <v>3559</v>
      </c>
      <c r="I85" s="2">
        <v>0.03</v>
      </c>
      <c r="J85" s="2">
        <v>8</v>
      </c>
      <c r="K85" s="2">
        <v>83.6</v>
      </c>
      <c r="L85" s="2">
        <v>1.41</v>
      </c>
      <c r="M85" s="2">
        <v>0</v>
      </c>
      <c r="N85" s="2">
        <v>4.2</v>
      </c>
      <c r="O85" s="2">
        <v>0</v>
      </c>
      <c r="P85" s="2">
        <v>1</v>
      </c>
      <c r="Q85" s="2">
        <v>0</v>
      </c>
      <c r="R85" s="2">
        <v>0</v>
      </c>
      <c r="S85" s="2">
        <v>0</v>
      </c>
      <c r="T85" s="2">
        <v>1</v>
      </c>
      <c r="U85" s="2">
        <f>'Multiple Regression Outputs'!$B$14+G85*'Multiple Regression Outputs'!$B$15+H85*'Multiple Regression Outputs'!$B$16+I85*'Multiple Regression Outputs'!$B$17+J85*'Multiple Regression Outputs'!$B$18+K85*'Multiple Regression Outputs'!$B$19+L85*'Multiple Regression Outputs'!$B$20+M85*'Multiple Regression Outputs'!$B$21+N85*'Multiple Regression Outputs'!$B$22+O85*'Multiple Regression Outputs'!$B$23+P85*'Multiple Regression Outputs'!$B$24+Q85*'Multiple Regression Outputs'!$B$25+R85*'Multiple Regression Outputs'!$B$26+S85*'Multiple Regression Outputs'!$B$27+T85*'Multiple Regression Outputs'!$B$28</f>
        <v>571693.5246237336</v>
      </c>
      <c r="V85" s="2">
        <f t="shared" si="1"/>
        <v>-2592.744623733568</v>
      </c>
    </row>
    <row r="86" spans="1:22" ht="15" customHeight="1">
      <c r="A86" s="2">
        <v>85</v>
      </c>
      <c r="B86" s="2" t="s">
        <v>47</v>
      </c>
      <c r="C86" s="2" t="s">
        <v>15</v>
      </c>
      <c r="D86" s="2" t="s">
        <v>31</v>
      </c>
      <c r="E86" s="2" t="s">
        <v>22</v>
      </c>
      <c r="F86" s="2">
        <v>574436.29</v>
      </c>
      <c r="G86" s="2">
        <v>55388.11</v>
      </c>
      <c r="H86" s="2">
        <v>3091</v>
      </c>
      <c r="I86" s="2">
        <v>0.108</v>
      </c>
      <c r="J86" s="2">
        <v>7</v>
      </c>
      <c r="K86" s="2">
        <v>85.4</v>
      </c>
      <c r="L86" s="2">
        <v>7.34</v>
      </c>
      <c r="M86" s="2">
        <v>0</v>
      </c>
      <c r="N86" s="2">
        <v>4.9000000000000004</v>
      </c>
      <c r="O86" s="2">
        <v>1</v>
      </c>
      <c r="P86" s="2">
        <v>0</v>
      </c>
      <c r="Q86" s="2">
        <v>0</v>
      </c>
      <c r="R86" s="2">
        <v>0</v>
      </c>
      <c r="S86" s="2">
        <v>0</v>
      </c>
      <c r="T86" s="2">
        <v>1</v>
      </c>
      <c r="U86" s="2">
        <f>'Multiple Regression Outputs'!$B$14+G86*'Multiple Regression Outputs'!$B$15+H86*'Multiple Regression Outputs'!$B$16+I86*'Multiple Regression Outputs'!$B$17+J86*'Multiple Regression Outputs'!$B$18+K86*'Multiple Regression Outputs'!$B$19+L86*'Multiple Regression Outputs'!$B$20+M86*'Multiple Regression Outputs'!$B$21+N86*'Multiple Regression Outputs'!$B$22+O86*'Multiple Regression Outputs'!$B$23+P86*'Multiple Regression Outputs'!$B$24+Q86*'Multiple Regression Outputs'!$B$25+R86*'Multiple Regression Outputs'!$B$26+S86*'Multiple Regression Outputs'!$B$27+T86*'Multiple Regression Outputs'!$B$28</f>
        <v>556324.49937167019</v>
      </c>
      <c r="V86" s="2">
        <f t="shared" si="1"/>
        <v>18111.790628329851</v>
      </c>
    </row>
    <row r="87" spans="1:22" ht="15" customHeight="1">
      <c r="A87" s="2">
        <v>86</v>
      </c>
      <c r="B87" s="2" t="s">
        <v>47</v>
      </c>
      <c r="C87" s="2" t="s">
        <v>18</v>
      </c>
      <c r="D87" s="2" t="s">
        <v>31</v>
      </c>
      <c r="E87" s="2" t="s">
        <v>22</v>
      </c>
      <c r="F87" s="2">
        <v>611766.72</v>
      </c>
      <c r="G87" s="2">
        <v>88443.77</v>
      </c>
      <c r="H87" s="2">
        <v>4004</v>
      </c>
      <c r="I87" s="2">
        <v>0.20599999999999999</v>
      </c>
      <c r="J87" s="2">
        <v>11</v>
      </c>
      <c r="K87" s="2">
        <v>91.9</v>
      </c>
      <c r="L87" s="2">
        <v>5.95</v>
      </c>
      <c r="M87" s="2">
        <v>0</v>
      </c>
      <c r="N87" s="2">
        <v>3.9</v>
      </c>
      <c r="O87" s="2">
        <v>1</v>
      </c>
      <c r="P87" s="2">
        <v>0</v>
      </c>
      <c r="Q87" s="2">
        <v>0</v>
      </c>
      <c r="R87" s="2">
        <v>0</v>
      </c>
      <c r="S87" s="2">
        <v>0</v>
      </c>
      <c r="T87" s="2">
        <v>1</v>
      </c>
      <c r="U87" s="2">
        <f>'Multiple Regression Outputs'!$B$14+G87*'Multiple Regression Outputs'!$B$15+H87*'Multiple Regression Outputs'!$B$16+I87*'Multiple Regression Outputs'!$B$17+J87*'Multiple Regression Outputs'!$B$18+K87*'Multiple Regression Outputs'!$B$19+L87*'Multiple Regression Outputs'!$B$20+M87*'Multiple Regression Outputs'!$B$21+N87*'Multiple Regression Outputs'!$B$22+O87*'Multiple Regression Outputs'!$B$23+P87*'Multiple Regression Outputs'!$B$24+Q87*'Multiple Regression Outputs'!$B$25+R87*'Multiple Regression Outputs'!$B$26+S87*'Multiple Regression Outputs'!$B$27+T87*'Multiple Regression Outputs'!$B$28</f>
        <v>643443.0737097247</v>
      </c>
      <c r="V87" s="2">
        <f t="shared" si="1"/>
        <v>-31676.353709724732</v>
      </c>
    </row>
    <row r="88" spans="1:22" ht="15" customHeight="1">
      <c r="A88" s="2">
        <v>87</v>
      </c>
      <c r="B88" s="2" t="s">
        <v>47</v>
      </c>
      <c r="C88" s="2" t="s">
        <v>19</v>
      </c>
      <c r="D88" s="2" t="s">
        <v>31</v>
      </c>
      <c r="E88" s="2" t="s">
        <v>22</v>
      </c>
      <c r="F88" s="2">
        <v>614596.31999999995</v>
      </c>
      <c r="G88" s="2">
        <v>78231.91</v>
      </c>
      <c r="H88" s="2">
        <v>3788</v>
      </c>
      <c r="I88" s="2">
        <v>5.8999999999999997E-2</v>
      </c>
      <c r="J88" s="2">
        <v>11</v>
      </c>
      <c r="K88" s="2">
        <v>88.5</v>
      </c>
      <c r="L88" s="2">
        <v>15.51</v>
      </c>
      <c r="M88" s="2">
        <v>0</v>
      </c>
      <c r="N88" s="2">
        <v>4.3</v>
      </c>
      <c r="O88" s="2">
        <v>1</v>
      </c>
      <c r="P88" s="2">
        <v>0</v>
      </c>
      <c r="Q88" s="2">
        <v>0</v>
      </c>
      <c r="R88" s="2">
        <v>0</v>
      </c>
      <c r="S88" s="2">
        <v>0</v>
      </c>
      <c r="T88" s="2">
        <v>1</v>
      </c>
      <c r="U88" s="2">
        <f>'Multiple Regression Outputs'!$B$14+G88*'Multiple Regression Outputs'!$B$15+H88*'Multiple Regression Outputs'!$B$16+I88*'Multiple Regression Outputs'!$B$17+J88*'Multiple Regression Outputs'!$B$18+K88*'Multiple Regression Outputs'!$B$19+L88*'Multiple Regression Outputs'!$B$20+M88*'Multiple Regression Outputs'!$B$21+N88*'Multiple Regression Outputs'!$B$22+O88*'Multiple Regression Outputs'!$B$23+P88*'Multiple Regression Outputs'!$B$24+Q88*'Multiple Regression Outputs'!$B$25+R88*'Multiple Regression Outputs'!$B$26+S88*'Multiple Regression Outputs'!$B$27+T88*'Multiple Regression Outputs'!$B$28</f>
        <v>592969.53606564854</v>
      </c>
      <c r="V88" s="2">
        <f t="shared" si="1"/>
        <v>21626.783934351406</v>
      </c>
    </row>
    <row r="89" spans="1:22" ht="15" customHeight="1">
      <c r="A89" s="2">
        <v>88</v>
      </c>
      <c r="B89" s="2" t="s">
        <v>47</v>
      </c>
      <c r="C89" s="2" t="s">
        <v>20</v>
      </c>
      <c r="D89" s="2" t="s">
        <v>31</v>
      </c>
      <c r="E89" s="2" t="s">
        <v>22</v>
      </c>
      <c r="F89" s="2">
        <v>450711.92</v>
      </c>
      <c r="G89" s="2">
        <v>18996.32</v>
      </c>
      <c r="H89" s="2">
        <v>1260</v>
      </c>
      <c r="I89" s="2">
        <v>0.14499999999999999</v>
      </c>
      <c r="J89" s="2">
        <v>9</v>
      </c>
      <c r="K89" s="2">
        <v>86.4</v>
      </c>
      <c r="L89" s="2">
        <v>4.3099999999999996</v>
      </c>
      <c r="M89" s="2">
        <v>0</v>
      </c>
      <c r="N89" s="2">
        <v>4.5999999999999996</v>
      </c>
      <c r="O89" s="2">
        <v>1</v>
      </c>
      <c r="P89" s="2">
        <v>0</v>
      </c>
      <c r="Q89" s="2">
        <v>0</v>
      </c>
      <c r="R89" s="2">
        <v>0</v>
      </c>
      <c r="S89" s="2">
        <v>0</v>
      </c>
      <c r="T89" s="2">
        <v>1</v>
      </c>
      <c r="U89" s="2">
        <f>'Multiple Regression Outputs'!$B$14+G89*'Multiple Regression Outputs'!$B$15+H89*'Multiple Regression Outputs'!$B$16+I89*'Multiple Regression Outputs'!$B$17+J89*'Multiple Regression Outputs'!$B$18+K89*'Multiple Regression Outputs'!$B$19+L89*'Multiple Regression Outputs'!$B$20+M89*'Multiple Regression Outputs'!$B$21+N89*'Multiple Regression Outputs'!$B$22+O89*'Multiple Regression Outputs'!$B$23+P89*'Multiple Regression Outputs'!$B$24+Q89*'Multiple Regression Outputs'!$B$25+R89*'Multiple Regression Outputs'!$B$26+S89*'Multiple Regression Outputs'!$B$27+T89*'Multiple Regression Outputs'!$B$28</f>
        <v>477458.10374840506</v>
      </c>
      <c r="V89" s="2">
        <f t="shared" si="1"/>
        <v>-26746.183748405077</v>
      </c>
    </row>
    <row r="90" spans="1:22" ht="15" customHeight="1">
      <c r="A90" s="2">
        <v>89</v>
      </c>
      <c r="B90" s="2" t="s">
        <v>48</v>
      </c>
      <c r="C90" s="2" t="s">
        <v>15</v>
      </c>
      <c r="D90" s="2" t="s">
        <v>28</v>
      </c>
      <c r="E90" s="2" t="s">
        <v>32</v>
      </c>
      <c r="F90" s="2">
        <v>711213.46</v>
      </c>
      <c r="G90" s="2">
        <v>50517.94</v>
      </c>
      <c r="H90" s="2">
        <v>7024</v>
      </c>
      <c r="I90" s="2">
        <v>2.9000000000000001E-2</v>
      </c>
      <c r="J90" s="2">
        <v>18</v>
      </c>
      <c r="K90" s="2">
        <v>79.2</v>
      </c>
      <c r="L90" s="2">
        <v>6.61</v>
      </c>
      <c r="M90" s="2">
        <v>1</v>
      </c>
      <c r="N90" s="2">
        <v>4.0999999999999996</v>
      </c>
      <c r="O90" s="2">
        <v>0</v>
      </c>
      <c r="P90" s="2">
        <v>1</v>
      </c>
      <c r="Q90" s="2">
        <v>0</v>
      </c>
      <c r="R90" s="2">
        <v>0</v>
      </c>
      <c r="S90" s="2">
        <v>1</v>
      </c>
      <c r="T90" s="2">
        <v>0</v>
      </c>
      <c r="U90" s="2">
        <f>'Multiple Regression Outputs'!$B$14+G90*'Multiple Regression Outputs'!$B$15+H90*'Multiple Regression Outputs'!$B$16+I90*'Multiple Regression Outputs'!$B$17+J90*'Multiple Regression Outputs'!$B$18+K90*'Multiple Regression Outputs'!$B$19+L90*'Multiple Regression Outputs'!$B$20+M90*'Multiple Regression Outputs'!$B$21+N90*'Multiple Regression Outputs'!$B$22+O90*'Multiple Regression Outputs'!$B$23+P90*'Multiple Regression Outputs'!$B$24+Q90*'Multiple Regression Outputs'!$B$25+R90*'Multiple Regression Outputs'!$B$26+S90*'Multiple Regression Outputs'!$B$27+T90*'Multiple Regression Outputs'!$B$28</f>
        <v>696881.37015561771</v>
      </c>
      <c r="V90" s="2">
        <f t="shared" si="1"/>
        <v>14332.089844382252</v>
      </c>
    </row>
    <row r="91" spans="1:22" ht="15" customHeight="1">
      <c r="A91" s="2">
        <v>90</v>
      </c>
      <c r="B91" s="2" t="s">
        <v>48</v>
      </c>
      <c r="C91" s="2" t="s">
        <v>18</v>
      </c>
      <c r="D91" s="2" t="s">
        <v>28</v>
      </c>
      <c r="E91" s="2" t="s">
        <v>32</v>
      </c>
      <c r="F91" s="2">
        <v>627171.9</v>
      </c>
      <c r="G91" s="2">
        <v>141540.29</v>
      </c>
      <c r="H91" s="2">
        <v>5400</v>
      </c>
      <c r="I91" s="2">
        <v>1.2999999999999999E-2</v>
      </c>
      <c r="J91" s="2">
        <v>12</v>
      </c>
      <c r="K91" s="2">
        <v>87</v>
      </c>
      <c r="L91" s="2">
        <v>4.26</v>
      </c>
      <c r="M91" s="2">
        <v>0</v>
      </c>
      <c r="N91" s="2">
        <v>4.5</v>
      </c>
      <c r="O91" s="2">
        <v>0</v>
      </c>
      <c r="P91" s="2">
        <v>1</v>
      </c>
      <c r="Q91" s="2">
        <v>0</v>
      </c>
      <c r="R91" s="2">
        <v>0</v>
      </c>
      <c r="S91" s="2">
        <v>1</v>
      </c>
      <c r="T91" s="2">
        <v>0</v>
      </c>
      <c r="U91" s="2">
        <f>'Multiple Regression Outputs'!$B$14+G91*'Multiple Regression Outputs'!$B$15+H91*'Multiple Regression Outputs'!$B$16+I91*'Multiple Regression Outputs'!$B$17+J91*'Multiple Regression Outputs'!$B$18+K91*'Multiple Regression Outputs'!$B$19+L91*'Multiple Regression Outputs'!$B$20+M91*'Multiple Regression Outputs'!$B$21+N91*'Multiple Regression Outputs'!$B$22+O91*'Multiple Regression Outputs'!$B$23+P91*'Multiple Regression Outputs'!$B$24+Q91*'Multiple Regression Outputs'!$B$25+R91*'Multiple Regression Outputs'!$B$26+S91*'Multiple Regression Outputs'!$B$27+T91*'Multiple Regression Outputs'!$B$28</f>
        <v>764038.71091177198</v>
      </c>
      <c r="V91" s="2">
        <f t="shared" si="1"/>
        <v>-136866.81091177196</v>
      </c>
    </row>
    <row r="92" spans="1:22" ht="15" customHeight="1">
      <c r="A92" s="2">
        <v>91</v>
      </c>
      <c r="B92" s="2" t="s">
        <v>48</v>
      </c>
      <c r="C92" s="2" t="s">
        <v>19</v>
      </c>
      <c r="D92" s="2" t="s">
        <v>28</v>
      </c>
      <c r="E92" s="2" t="s">
        <v>32</v>
      </c>
      <c r="F92" s="2">
        <v>739852.58</v>
      </c>
      <c r="G92" s="2">
        <v>82116.19</v>
      </c>
      <c r="H92" s="2">
        <v>5988</v>
      </c>
      <c r="I92" s="2">
        <v>0.04</v>
      </c>
      <c r="J92" s="2">
        <v>17</v>
      </c>
      <c r="K92" s="2">
        <v>91.8</v>
      </c>
      <c r="L92" s="2">
        <v>5.75</v>
      </c>
      <c r="M92" s="2">
        <v>0</v>
      </c>
      <c r="N92" s="2">
        <v>4.7</v>
      </c>
      <c r="O92" s="2">
        <v>0</v>
      </c>
      <c r="P92" s="2">
        <v>1</v>
      </c>
      <c r="Q92" s="2">
        <v>0</v>
      </c>
      <c r="R92" s="2">
        <v>0</v>
      </c>
      <c r="S92" s="2">
        <v>1</v>
      </c>
      <c r="T92" s="2">
        <v>0</v>
      </c>
      <c r="U92" s="2">
        <f>'Multiple Regression Outputs'!$B$14+G92*'Multiple Regression Outputs'!$B$15+H92*'Multiple Regression Outputs'!$B$16+I92*'Multiple Regression Outputs'!$B$17+J92*'Multiple Regression Outputs'!$B$18+K92*'Multiple Regression Outputs'!$B$19+L92*'Multiple Regression Outputs'!$B$20+M92*'Multiple Regression Outputs'!$B$21+N92*'Multiple Regression Outputs'!$B$22+O92*'Multiple Regression Outputs'!$B$23+P92*'Multiple Regression Outputs'!$B$24+Q92*'Multiple Regression Outputs'!$B$25+R92*'Multiple Regression Outputs'!$B$26+S92*'Multiple Regression Outputs'!$B$27+T92*'Multiple Regression Outputs'!$B$28</f>
        <v>736719.63340196363</v>
      </c>
      <c r="V92" s="2">
        <f t="shared" si="1"/>
        <v>3132.9465980363311</v>
      </c>
    </row>
    <row r="93" spans="1:22" ht="15" customHeight="1">
      <c r="A93" s="2">
        <v>92</v>
      </c>
      <c r="B93" s="2" t="s">
        <v>48</v>
      </c>
      <c r="C93" s="2" t="s">
        <v>20</v>
      </c>
      <c r="D93" s="2" t="s">
        <v>28</v>
      </c>
      <c r="E93" s="2" t="s">
        <v>32</v>
      </c>
      <c r="F93" s="2">
        <v>586307.22</v>
      </c>
      <c r="G93" s="2">
        <v>31207.51</v>
      </c>
      <c r="H93" s="2">
        <v>3701</v>
      </c>
      <c r="I93" s="2">
        <v>4.2999999999999997E-2</v>
      </c>
      <c r="J93" s="2">
        <v>11</v>
      </c>
      <c r="K93" s="2">
        <v>84.7</v>
      </c>
      <c r="L93" s="2">
        <v>0.33</v>
      </c>
      <c r="M93" s="2">
        <v>0</v>
      </c>
      <c r="N93" s="2">
        <v>4.3</v>
      </c>
      <c r="O93" s="2">
        <v>0</v>
      </c>
      <c r="P93" s="2">
        <v>1</v>
      </c>
      <c r="Q93" s="2">
        <v>0</v>
      </c>
      <c r="R93" s="2">
        <v>0</v>
      </c>
      <c r="S93" s="2">
        <v>1</v>
      </c>
      <c r="T93" s="2">
        <v>0</v>
      </c>
      <c r="U93" s="2">
        <f>'Multiple Regression Outputs'!$B$14+G93*'Multiple Regression Outputs'!$B$15+H93*'Multiple Regression Outputs'!$B$16+I93*'Multiple Regression Outputs'!$B$17+J93*'Multiple Regression Outputs'!$B$18+K93*'Multiple Regression Outputs'!$B$19+L93*'Multiple Regression Outputs'!$B$20+M93*'Multiple Regression Outputs'!$B$21+N93*'Multiple Regression Outputs'!$B$22+O93*'Multiple Regression Outputs'!$B$23+P93*'Multiple Regression Outputs'!$B$24+Q93*'Multiple Regression Outputs'!$B$25+R93*'Multiple Regression Outputs'!$B$26+S93*'Multiple Regression Outputs'!$B$27+T93*'Multiple Regression Outputs'!$B$28</f>
        <v>583320.8363313576</v>
      </c>
      <c r="V93" s="2">
        <f t="shared" si="1"/>
        <v>2986.3836686423747</v>
      </c>
    </row>
    <row r="94" spans="1:22" ht="15" customHeight="1">
      <c r="A94" s="2">
        <v>93</v>
      </c>
      <c r="B94" s="2" t="s">
        <v>49</v>
      </c>
      <c r="C94" s="2" t="s">
        <v>15</v>
      </c>
      <c r="D94" s="2" t="s">
        <v>31</v>
      </c>
      <c r="E94" s="2" t="s">
        <v>17</v>
      </c>
      <c r="F94" s="2">
        <v>585937.48</v>
      </c>
      <c r="G94" s="2">
        <v>38966.589999999997</v>
      </c>
      <c r="H94" s="2">
        <v>4509</v>
      </c>
      <c r="I94" s="2">
        <v>0.19400000000000001</v>
      </c>
      <c r="J94" s="2">
        <v>14</v>
      </c>
      <c r="K94" s="2">
        <v>91.1</v>
      </c>
      <c r="L94" s="2">
        <v>2.92</v>
      </c>
      <c r="M94" s="2">
        <v>0</v>
      </c>
      <c r="N94" s="2">
        <v>4.5999999999999996</v>
      </c>
      <c r="O94" s="2">
        <v>0</v>
      </c>
      <c r="P94" s="2">
        <v>0</v>
      </c>
      <c r="Q94" s="2">
        <v>1</v>
      </c>
      <c r="R94" s="2">
        <v>0</v>
      </c>
      <c r="S94" s="2">
        <v>0</v>
      </c>
      <c r="T94" s="2">
        <v>1</v>
      </c>
      <c r="U94" s="2">
        <f>'Multiple Regression Outputs'!$B$14+G94*'Multiple Regression Outputs'!$B$15+H94*'Multiple Regression Outputs'!$B$16+I94*'Multiple Regression Outputs'!$B$17+J94*'Multiple Regression Outputs'!$B$18+K94*'Multiple Regression Outputs'!$B$19+L94*'Multiple Regression Outputs'!$B$20+M94*'Multiple Regression Outputs'!$B$21+N94*'Multiple Regression Outputs'!$B$22+O94*'Multiple Regression Outputs'!$B$23+P94*'Multiple Regression Outputs'!$B$24+Q94*'Multiple Regression Outputs'!$B$25+R94*'Multiple Regression Outputs'!$B$26+S94*'Multiple Regression Outputs'!$B$27+T94*'Multiple Regression Outputs'!$B$28</f>
        <v>604909.18015938683</v>
      </c>
      <c r="V94" s="2">
        <f t="shared" si="1"/>
        <v>-18971.700159386848</v>
      </c>
    </row>
    <row r="95" spans="1:22" ht="15" customHeight="1">
      <c r="A95" s="2">
        <v>94</v>
      </c>
      <c r="B95" s="2" t="s">
        <v>49</v>
      </c>
      <c r="C95" s="2" t="s">
        <v>18</v>
      </c>
      <c r="D95" s="2" t="s">
        <v>31</v>
      </c>
      <c r="E95" s="2" t="s">
        <v>17</v>
      </c>
      <c r="F95" s="2">
        <v>753473.55</v>
      </c>
      <c r="G95" s="2">
        <v>67439.3</v>
      </c>
      <c r="H95" s="2">
        <v>6477</v>
      </c>
      <c r="I95" s="2">
        <v>0</v>
      </c>
      <c r="J95" s="2">
        <v>16</v>
      </c>
      <c r="K95" s="2">
        <v>90.9</v>
      </c>
      <c r="L95" s="2">
        <v>1.64</v>
      </c>
      <c r="M95" s="2">
        <v>0</v>
      </c>
      <c r="N95" s="2">
        <v>4.5</v>
      </c>
      <c r="O95" s="2">
        <v>0</v>
      </c>
      <c r="P95" s="2">
        <v>0</v>
      </c>
      <c r="Q95" s="2">
        <v>1</v>
      </c>
      <c r="R95" s="2">
        <v>0</v>
      </c>
      <c r="S95" s="2">
        <v>0</v>
      </c>
      <c r="T95" s="2">
        <v>1</v>
      </c>
      <c r="U95" s="2">
        <f>'Multiple Regression Outputs'!$B$14+G95*'Multiple Regression Outputs'!$B$15+H95*'Multiple Regression Outputs'!$B$16+I95*'Multiple Regression Outputs'!$B$17+J95*'Multiple Regression Outputs'!$B$18+K95*'Multiple Regression Outputs'!$B$19+L95*'Multiple Regression Outputs'!$B$20+M95*'Multiple Regression Outputs'!$B$21+N95*'Multiple Regression Outputs'!$B$22+O95*'Multiple Regression Outputs'!$B$23+P95*'Multiple Regression Outputs'!$B$24+Q95*'Multiple Regression Outputs'!$B$25+R95*'Multiple Regression Outputs'!$B$26+S95*'Multiple Regression Outputs'!$B$27+T95*'Multiple Regression Outputs'!$B$28</f>
        <v>710712.11376991088</v>
      </c>
      <c r="V95" s="2">
        <f t="shared" si="1"/>
        <v>42761.436230089166</v>
      </c>
    </row>
    <row r="96" spans="1:22" ht="15" customHeight="1">
      <c r="A96" s="2">
        <v>95</v>
      </c>
      <c r="B96" s="2" t="s">
        <v>49</v>
      </c>
      <c r="C96" s="2" t="s">
        <v>19</v>
      </c>
      <c r="D96" s="2" t="s">
        <v>31</v>
      </c>
      <c r="E96" s="2" t="s">
        <v>17</v>
      </c>
      <c r="F96" s="2">
        <v>838250.32</v>
      </c>
      <c r="G96" s="2">
        <v>86421.88</v>
      </c>
      <c r="H96" s="2">
        <v>7970</v>
      </c>
      <c r="I96" s="2">
        <v>7.2999999999999995E-2</v>
      </c>
      <c r="J96" s="2">
        <v>17</v>
      </c>
      <c r="K96" s="2">
        <v>91.3</v>
      </c>
      <c r="L96" s="2">
        <v>0.8</v>
      </c>
      <c r="M96" s="2">
        <v>0</v>
      </c>
      <c r="N96" s="2">
        <v>5</v>
      </c>
      <c r="O96" s="2">
        <v>0</v>
      </c>
      <c r="P96" s="2">
        <v>0</v>
      </c>
      <c r="Q96" s="2">
        <v>1</v>
      </c>
      <c r="R96" s="2">
        <v>0</v>
      </c>
      <c r="S96" s="2">
        <v>0</v>
      </c>
      <c r="T96" s="2">
        <v>1</v>
      </c>
      <c r="U96" s="2">
        <f>'Multiple Regression Outputs'!$B$14+G96*'Multiple Regression Outputs'!$B$15+H96*'Multiple Regression Outputs'!$B$16+I96*'Multiple Regression Outputs'!$B$17+J96*'Multiple Regression Outputs'!$B$18+K96*'Multiple Regression Outputs'!$B$19+L96*'Multiple Regression Outputs'!$B$20+M96*'Multiple Regression Outputs'!$B$21+N96*'Multiple Regression Outputs'!$B$22+O96*'Multiple Regression Outputs'!$B$23+P96*'Multiple Regression Outputs'!$B$24+Q96*'Multiple Regression Outputs'!$B$25+R96*'Multiple Regression Outputs'!$B$26+S96*'Multiple Regression Outputs'!$B$27+T96*'Multiple Regression Outputs'!$B$28</f>
        <v>785357.89173462091</v>
      </c>
      <c r="V96" s="2">
        <f t="shared" si="1"/>
        <v>52892.428265379043</v>
      </c>
    </row>
    <row r="97" spans="1:22" ht="15" customHeight="1">
      <c r="A97" s="2">
        <v>96</v>
      </c>
      <c r="B97" s="2" t="s">
        <v>49</v>
      </c>
      <c r="C97" s="2" t="s">
        <v>20</v>
      </c>
      <c r="D97" s="2" t="s">
        <v>31</v>
      </c>
      <c r="E97" s="2" t="s">
        <v>17</v>
      </c>
      <c r="F97" s="2">
        <v>607898.12</v>
      </c>
      <c r="G97" s="2">
        <v>9534.65</v>
      </c>
      <c r="H97" s="2">
        <v>6057</v>
      </c>
      <c r="I97" s="2">
        <v>7.3999999999999996E-2</v>
      </c>
      <c r="J97" s="2">
        <v>15</v>
      </c>
      <c r="K97" s="2">
        <v>94.1</v>
      </c>
      <c r="L97" s="2">
        <v>5.79</v>
      </c>
      <c r="M97" s="2">
        <v>0</v>
      </c>
      <c r="N97" s="2">
        <v>4.5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1</v>
      </c>
      <c r="U97" s="2">
        <f>'Multiple Regression Outputs'!$B$14+G97*'Multiple Regression Outputs'!$B$15+H97*'Multiple Regression Outputs'!$B$16+I97*'Multiple Regression Outputs'!$B$17+J97*'Multiple Regression Outputs'!$B$18+K97*'Multiple Regression Outputs'!$B$19+L97*'Multiple Regression Outputs'!$B$20+M97*'Multiple Regression Outputs'!$B$21+N97*'Multiple Regression Outputs'!$B$22+O97*'Multiple Regression Outputs'!$B$23+P97*'Multiple Regression Outputs'!$B$24+Q97*'Multiple Regression Outputs'!$B$25+R97*'Multiple Regression Outputs'!$B$26+S97*'Multiple Regression Outputs'!$B$27+T97*'Multiple Regression Outputs'!$B$28</f>
        <v>618140.95899811608</v>
      </c>
      <c r="V97" s="2">
        <f t="shared" si="1"/>
        <v>-10242.838998116087</v>
      </c>
    </row>
    <row r="98" spans="1:22" ht="15" customHeight="1">
      <c r="A98" s="2">
        <v>97</v>
      </c>
      <c r="B98" s="2" t="s">
        <v>50</v>
      </c>
      <c r="C98" s="2" t="s">
        <v>15</v>
      </c>
      <c r="D98" s="2" t="s">
        <v>31</v>
      </c>
      <c r="E98" s="2" t="s">
        <v>32</v>
      </c>
      <c r="F98" s="2">
        <v>691113.62</v>
      </c>
      <c r="G98" s="2">
        <v>61132.07</v>
      </c>
      <c r="H98" s="2">
        <v>6394</v>
      </c>
      <c r="I98" s="2">
        <v>0.16300000000000001</v>
      </c>
      <c r="J98" s="2">
        <v>19</v>
      </c>
      <c r="K98" s="2">
        <v>91</v>
      </c>
      <c r="L98" s="2">
        <v>19.600000000000001</v>
      </c>
      <c r="M98" s="2">
        <v>0</v>
      </c>
      <c r="N98" s="2">
        <v>4.4000000000000004</v>
      </c>
      <c r="O98" s="2">
        <v>0</v>
      </c>
      <c r="P98" s="2">
        <v>1</v>
      </c>
      <c r="Q98" s="2">
        <v>0</v>
      </c>
      <c r="R98" s="2">
        <v>0</v>
      </c>
      <c r="S98" s="2">
        <v>0</v>
      </c>
      <c r="T98" s="2">
        <v>1</v>
      </c>
      <c r="U98" s="2">
        <f>'Multiple Regression Outputs'!$B$14+G98*'Multiple Regression Outputs'!$B$15+H98*'Multiple Regression Outputs'!$B$16+I98*'Multiple Regression Outputs'!$B$17+J98*'Multiple Regression Outputs'!$B$18+K98*'Multiple Regression Outputs'!$B$19+L98*'Multiple Regression Outputs'!$B$20+M98*'Multiple Regression Outputs'!$B$21+N98*'Multiple Regression Outputs'!$B$22+O98*'Multiple Regression Outputs'!$B$23+P98*'Multiple Regression Outputs'!$B$24+Q98*'Multiple Regression Outputs'!$B$25+R98*'Multiple Regression Outputs'!$B$26+S98*'Multiple Regression Outputs'!$B$27+T98*'Multiple Regression Outputs'!$B$28</f>
        <v>674754.18688736809</v>
      </c>
      <c r="V98" s="2">
        <f t="shared" si="1"/>
        <v>16359.433112631901</v>
      </c>
    </row>
    <row r="99" spans="1:22" ht="15" customHeight="1">
      <c r="A99" s="2">
        <v>98</v>
      </c>
      <c r="B99" s="2" t="s">
        <v>50</v>
      </c>
      <c r="C99" s="2" t="s">
        <v>18</v>
      </c>
      <c r="D99" s="2" t="s">
        <v>31</v>
      </c>
      <c r="E99" s="2" t="s">
        <v>32</v>
      </c>
      <c r="F99" s="2">
        <v>735509.4</v>
      </c>
      <c r="G99" s="2">
        <v>78839.39</v>
      </c>
      <c r="H99" s="2">
        <v>5150</v>
      </c>
      <c r="I99" s="2">
        <v>0.17100000000000001</v>
      </c>
      <c r="J99" s="2">
        <v>13</v>
      </c>
      <c r="K99" s="2">
        <v>85.8</v>
      </c>
      <c r="L99" s="2">
        <v>7.57</v>
      </c>
      <c r="M99" s="2">
        <v>0</v>
      </c>
      <c r="N99" s="2">
        <v>4.3</v>
      </c>
      <c r="O99" s="2">
        <v>0</v>
      </c>
      <c r="P99" s="2">
        <v>1</v>
      </c>
      <c r="Q99" s="2">
        <v>0</v>
      </c>
      <c r="R99" s="2">
        <v>0</v>
      </c>
      <c r="S99" s="2">
        <v>0</v>
      </c>
      <c r="T99" s="2">
        <v>1</v>
      </c>
      <c r="U99" s="2">
        <f>'Multiple Regression Outputs'!$B$14+G99*'Multiple Regression Outputs'!$B$15+H99*'Multiple Regression Outputs'!$B$16+I99*'Multiple Regression Outputs'!$B$17+J99*'Multiple Regression Outputs'!$B$18+K99*'Multiple Regression Outputs'!$B$19+L99*'Multiple Regression Outputs'!$B$20+M99*'Multiple Regression Outputs'!$B$21+N99*'Multiple Regression Outputs'!$B$22+O99*'Multiple Regression Outputs'!$B$23+P99*'Multiple Regression Outputs'!$B$24+Q99*'Multiple Regression Outputs'!$B$25+R99*'Multiple Regression Outputs'!$B$26+S99*'Multiple Regression Outputs'!$B$27+T99*'Multiple Regression Outputs'!$B$28</f>
        <v>664978.20989811467</v>
      </c>
      <c r="V99" s="2">
        <f t="shared" si="1"/>
        <v>70531.190101885353</v>
      </c>
    </row>
    <row r="100" spans="1:22" ht="15" customHeight="1">
      <c r="A100" s="2">
        <v>99</v>
      </c>
      <c r="B100" s="2" t="s">
        <v>50</v>
      </c>
      <c r="C100" s="2" t="s">
        <v>19</v>
      </c>
      <c r="D100" s="2" t="s">
        <v>31</v>
      </c>
      <c r="E100" s="2" t="s">
        <v>32</v>
      </c>
      <c r="F100" s="2">
        <v>605775.32999999996</v>
      </c>
      <c r="G100" s="2">
        <v>38752.800000000003</v>
      </c>
      <c r="H100" s="2">
        <v>4712</v>
      </c>
      <c r="I100" s="2">
        <v>7.4999999999999997E-2</v>
      </c>
      <c r="J100" s="2">
        <v>15</v>
      </c>
      <c r="K100" s="2">
        <v>89.7</v>
      </c>
      <c r="L100" s="2">
        <v>3.3650000000000002</v>
      </c>
      <c r="M100" s="2">
        <v>0</v>
      </c>
      <c r="N100" s="2">
        <v>4.3</v>
      </c>
      <c r="O100" s="2">
        <v>0</v>
      </c>
      <c r="P100" s="2">
        <v>1</v>
      </c>
      <c r="Q100" s="2">
        <v>0</v>
      </c>
      <c r="R100" s="2">
        <v>0</v>
      </c>
      <c r="S100" s="2">
        <v>0</v>
      </c>
      <c r="T100" s="2">
        <v>1</v>
      </c>
      <c r="U100" s="2">
        <f>'Multiple Regression Outputs'!$B$14+G100*'Multiple Regression Outputs'!$B$15+H100*'Multiple Regression Outputs'!$B$16+I100*'Multiple Regression Outputs'!$B$17+J100*'Multiple Regression Outputs'!$B$18+K100*'Multiple Regression Outputs'!$B$19+L100*'Multiple Regression Outputs'!$B$20+M100*'Multiple Regression Outputs'!$B$21+N100*'Multiple Regression Outputs'!$B$22+O100*'Multiple Regression Outputs'!$B$23+P100*'Multiple Regression Outputs'!$B$24+Q100*'Multiple Regression Outputs'!$B$25+R100*'Multiple Regression Outputs'!$B$26+S100*'Multiple Regression Outputs'!$B$27+T100*'Multiple Regression Outputs'!$B$28</f>
        <v>641879.05366983358</v>
      </c>
      <c r="V100" s="2">
        <f t="shared" si="1"/>
        <v>-36103.72366983362</v>
      </c>
    </row>
    <row r="101" spans="1:22" ht="15" customHeight="1">
      <c r="A101" s="2">
        <v>100</v>
      </c>
      <c r="B101" s="2" t="s">
        <v>50</v>
      </c>
      <c r="C101" s="2" t="s">
        <v>20</v>
      </c>
      <c r="D101" s="2" t="s">
        <v>31</v>
      </c>
      <c r="E101" s="2" t="s">
        <v>32</v>
      </c>
      <c r="F101" s="2">
        <v>675177.68</v>
      </c>
      <c r="G101" s="2">
        <v>55101.1</v>
      </c>
      <c r="H101" s="2">
        <v>5281</v>
      </c>
      <c r="I101" s="2">
        <v>0.189</v>
      </c>
      <c r="J101" s="2">
        <v>11</v>
      </c>
      <c r="K101" s="2">
        <v>91</v>
      </c>
      <c r="L101" s="2">
        <v>2.7</v>
      </c>
      <c r="M101" s="2">
        <v>0</v>
      </c>
      <c r="N101" s="2">
        <v>4.4000000000000004</v>
      </c>
      <c r="O101" s="2">
        <v>0</v>
      </c>
      <c r="P101" s="2">
        <v>1</v>
      </c>
      <c r="Q101" s="2">
        <v>0</v>
      </c>
      <c r="R101" s="2">
        <v>0</v>
      </c>
      <c r="S101" s="2">
        <v>0</v>
      </c>
      <c r="T101" s="2">
        <v>1</v>
      </c>
      <c r="U101" s="2">
        <f>'Multiple Regression Outputs'!$B$14+G101*'Multiple Regression Outputs'!$B$15+H101*'Multiple Regression Outputs'!$B$16+I101*'Multiple Regression Outputs'!$B$17+J101*'Multiple Regression Outputs'!$B$18+K101*'Multiple Regression Outputs'!$B$19+L101*'Multiple Regression Outputs'!$B$20+M101*'Multiple Regression Outputs'!$B$21+N101*'Multiple Regression Outputs'!$B$22+O101*'Multiple Regression Outputs'!$B$23+P101*'Multiple Regression Outputs'!$B$24+Q101*'Multiple Regression Outputs'!$B$25+R101*'Multiple Regression Outputs'!$B$26+S101*'Multiple Regression Outputs'!$B$27+T101*'Multiple Regression Outputs'!$B$28</f>
        <v>665996.46812808444</v>
      </c>
      <c r="V101" s="2">
        <f t="shared" si="1"/>
        <v>9181.2118719156133</v>
      </c>
    </row>
    <row r="102" spans="1:22" ht="15" customHeight="1">
      <c r="A102" s="2">
        <v>101</v>
      </c>
      <c r="B102" s="2" t="s">
        <v>51</v>
      </c>
      <c r="C102" s="2" t="s">
        <v>15</v>
      </c>
      <c r="D102" s="2" t="s">
        <v>16</v>
      </c>
      <c r="E102" s="2" t="s">
        <v>32</v>
      </c>
      <c r="F102" s="2">
        <v>635181.35</v>
      </c>
      <c r="G102" s="2">
        <v>53084.76</v>
      </c>
      <c r="H102" s="2">
        <v>3642</v>
      </c>
      <c r="I102" s="2">
        <v>0.15</v>
      </c>
      <c r="J102" s="2">
        <v>12</v>
      </c>
      <c r="K102" s="2">
        <v>91.4</v>
      </c>
      <c r="L102" s="2">
        <v>0.2</v>
      </c>
      <c r="M102" s="2">
        <v>0</v>
      </c>
      <c r="N102" s="2">
        <v>4.4000000000000004</v>
      </c>
      <c r="O102" s="2">
        <v>0</v>
      </c>
      <c r="P102" s="2">
        <v>1</v>
      </c>
      <c r="Q102" s="2">
        <v>0</v>
      </c>
      <c r="R102" s="2">
        <v>0</v>
      </c>
      <c r="S102" s="2">
        <v>0</v>
      </c>
      <c r="T102" s="2">
        <v>0</v>
      </c>
      <c r="U102" s="2">
        <f>'Multiple Regression Outputs'!$B$14+G102*'Multiple Regression Outputs'!$B$15+H102*'Multiple Regression Outputs'!$B$16+I102*'Multiple Regression Outputs'!$B$17+J102*'Multiple Regression Outputs'!$B$18+K102*'Multiple Regression Outputs'!$B$19+L102*'Multiple Regression Outputs'!$B$20+M102*'Multiple Regression Outputs'!$B$21+N102*'Multiple Regression Outputs'!$B$22+O102*'Multiple Regression Outputs'!$B$23+P102*'Multiple Regression Outputs'!$B$24+Q102*'Multiple Regression Outputs'!$B$25+R102*'Multiple Regression Outputs'!$B$26+S102*'Multiple Regression Outputs'!$B$27+T102*'Multiple Regression Outputs'!$B$28</f>
        <v>608398.43455960485</v>
      </c>
      <c r="V102" s="2">
        <f t="shared" si="1"/>
        <v>26782.915440395125</v>
      </c>
    </row>
    <row r="103" spans="1:22" ht="15" customHeight="1">
      <c r="A103" s="2">
        <v>102</v>
      </c>
      <c r="B103" s="2" t="s">
        <v>51</v>
      </c>
      <c r="C103" s="2" t="s">
        <v>18</v>
      </c>
      <c r="D103" s="2" t="s">
        <v>16</v>
      </c>
      <c r="E103" s="2" t="s">
        <v>32</v>
      </c>
      <c r="F103" s="2">
        <v>586626.93999999994</v>
      </c>
      <c r="G103" s="2">
        <v>63101.59</v>
      </c>
      <c r="H103" s="2">
        <v>4373</v>
      </c>
      <c r="I103" s="2">
        <v>0.17299999999999999</v>
      </c>
      <c r="J103" s="2">
        <v>14</v>
      </c>
      <c r="K103" s="2">
        <v>90.4</v>
      </c>
      <c r="L103" s="2">
        <v>7.87</v>
      </c>
      <c r="M103" s="2">
        <v>0</v>
      </c>
      <c r="N103" s="2">
        <v>4.7</v>
      </c>
      <c r="O103" s="2">
        <v>0</v>
      </c>
      <c r="P103" s="2">
        <v>1</v>
      </c>
      <c r="Q103" s="2">
        <v>0</v>
      </c>
      <c r="R103" s="2">
        <v>0</v>
      </c>
      <c r="S103" s="2">
        <v>0</v>
      </c>
      <c r="T103" s="2">
        <v>0</v>
      </c>
      <c r="U103" s="2">
        <f>'Multiple Regression Outputs'!$B$14+G103*'Multiple Regression Outputs'!$B$15+H103*'Multiple Regression Outputs'!$B$16+I103*'Multiple Regression Outputs'!$B$17+J103*'Multiple Regression Outputs'!$B$18+K103*'Multiple Regression Outputs'!$B$19+L103*'Multiple Regression Outputs'!$B$20+M103*'Multiple Regression Outputs'!$B$21+N103*'Multiple Regression Outputs'!$B$22+O103*'Multiple Regression Outputs'!$B$23+P103*'Multiple Regression Outputs'!$B$24+Q103*'Multiple Regression Outputs'!$B$25+R103*'Multiple Regression Outputs'!$B$26+S103*'Multiple Regression Outputs'!$B$27+T103*'Multiple Regression Outputs'!$B$28</f>
        <v>620889.38732421561</v>
      </c>
      <c r="V103" s="2">
        <f t="shared" si="1"/>
        <v>-34262.447324215667</v>
      </c>
    </row>
    <row r="104" spans="1:22" ht="15" customHeight="1">
      <c r="A104" s="2">
        <v>103</v>
      </c>
      <c r="B104" s="2" t="s">
        <v>51</v>
      </c>
      <c r="C104" s="2" t="s">
        <v>19</v>
      </c>
      <c r="D104" s="2" t="s">
        <v>16</v>
      </c>
      <c r="E104" s="2" t="s">
        <v>32</v>
      </c>
      <c r="F104" s="2">
        <v>740102.64</v>
      </c>
      <c r="G104" s="2">
        <v>90084.4</v>
      </c>
      <c r="H104" s="2">
        <v>6832</v>
      </c>
      <c r="I104" s="2">
        <v>0.185</v>
      </c>
      <c r="J104" s="2">
        <v>14</v>
      </c>
      <c r="K104" s="2">
        <v>80.5</v>
      </c>
      <c r="L104" s="2">
        <v>0.77</v>
      </c>
      <c r="M104" s="2">
        <v>1</v>
      </c>
      <c r="N104" s="2">
        <v>4.4000000000000004</v>
      </c>
      <c r="O104" s="2">
        <v>0</v>
      </c>
      <c r="P104" s="2">
        <v>1</v>
      </c>
      <c r="Q104" s="2">
        <v>0</v>
      </c>
      <c r="R104" s="2">
        <v>0</v>
      </c>
      <c r="S104" s="2">
        <v>0</v>
      </c>
      <c r="T104" s="2">
        <v>0</v>
      </c>
      <c r="U104" s="2">
        <f>'Multiple Regression Outputs'!$B$14+G104*'Multiple Regression Outputs'!$B$15+H104*'Multiple Regression Outputs'!$B$16+I104*'Multiple Regression Outputs'!$B$17+J104*'Multiple Regression Outputs'!$B$18+K104*'Multiple Regression Outputs'!$B$19+L104*'Multiple Regression Outputs'!$B$20+M104*'Multiple Regression Outputs'!$B$21+N104*'Multiple Regression Outputs'!$B$22+O104*'Multiple Regression Outputs'!$B$23+P104*'Multiple Regression Outputs'!$B$24+Q104*'Multiple Regression Outputs'!$B$25+R104*'Multiple Regression Outputs'!$B$26+S104*'Multiple Regression Outputs'!$B$27+T104*'Multiple Regression Outputs'!$B$28</f>
        <v>725760.5764320317</v>
      </c>
      <c r="V104" s="2">
        <f t="shared" si="1"/>
        <v>14342.063567968318</v>
      </c>
    </row>
    <row r="105" spans="1:22" ht="15" customHeight="1">
      <c r="A105" s="2">
        <v>104</v>
      </c>
      <c r="B105" s="2" t="s">
        <v>51</v>
      </c>
      <c r="C105" s="2" t="s">
        <v>20</v>
      </c>
      <c r="D105" s="2" t="s">
        <v>16</v>
      </c>
      <c r="E105" s="2" t="s">
        <v>32</v>
      </c>
      <c r="F105" s="2">
        <v>625514.04</v>
      </c>
      <c r="G105" s="2">
        <v>32266.639999999999</v>
      </c>
      <c r="H105" s="2">
        <v>2414</v>
      </c>
      <c r="I105" s="2">
        <v>0.08</v>
      </c>
      <c r="J105" s="2">
        <v>7</v>
      </c>
      <c r="K105" s="2">
        <v>92.1</v>
      </c>
      <c r="L105" s="2">
        <v>1.48</v>
      </c>
      <c r="M105" s="2">
        <v>0</v>
      </c>
      <c r="N105" s="2">
        <v>5</v>
      </c>
      <c r="O105" s="2">
        <v>0</v>
      </c>
      <c r="P105" s="2">
        <v>1</v>
      </c>
      <c r="Q105" s="2">
        <v>0</v>
      </c>
      <c r="R105" s="2">
        <v>0</v>
      </c>
      <c r="S105" s="2">
        <v>0</v>
      </c>
      <c r="T105" s="2">
        <v>0</v>
      </c>
      <c r="U105" s="2">
        <f>'Multiple Regression Outputs'!$B$14+G105*'Multiple Regression Outputs'!$B$15+H105*'Multiple Regression Outputs'!$B$16+I105*'Multiple Regression Outputs'!$B$17+J105*'Multiple Regression Outputs'!$B$18+K105*'Multiple Regression Outputs'!$B$19+L105*'Multiple Regression Outputs'!$B$20+M105*'Multiple Regression Outputs'!$B$21+N105*'Multiple Regression Outputs'!$B$22+O105*'Multiple Regression Outputs'!$B$23+P105*'Multiple Regression Outputs'!$B$24+Q105*'Multiple Regression Outputs'!$B$25+R105*'Multiple Regression Outputs'!$B$26+S105*'Multiple Regression Outputs'!$B$27+T105*'Multiple Regression Outputs'!$B$28</f>
        <v>540234.62124624907</v>
      </c>
      <c r="V105" s="2">
        <f t="shared" si="1"/>
        <v>85279.418753750972</v>
      </c>
    </row>
    <row r="106" spans="1:22" ht="15" customHeight="1">
      <c r="A106" s="2">
        <v>105</v>
      </c>
      <c r="B106" s="2" t="s">
        <v>52</v>
      </c>
      <c r="C106" s="2" t="s">
        <v>15</v>
      </c>
      <c r="D106" s="2" t="s">
        <v>31</v>
      </c>
      <c r="E106" s="2" t="s">
        <v>22</v>
      </c>
      <c r="F106" s="2">
        <v>727227.2</v>
      </c>
      <c r="G106" s="2">
        <v>57919.07</v>
      </c>
      <c r="H106" s="2">
        <v>7374</v>
      </c>
      <c r="I106" s="2">
        <v>0.10299999999999999</v>
      </c>
      <c r="J106" s="2">
        <v>21</v>
      </c>
      <c r="K106" s="2">
        <v>82.3</v>
      </c>
      <c r="L106" s="2">
        <v>2.87</v>
      </c>
      <c r="M106" s="2">
        <v>0</v>
      </c>
      <c r="N106" s="2">
        <v>2.9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1</v>
      </c>
      <c r="U106" s="2">
        <f>'Multiple Regression Outputs'!$B$14+G106*'Multiple Regression Outputs'!$B$15+H106*'Multiple Regression Outputs'!$B$16+I106*'Multiple Regression Outputs'!$B$17+J106*'Multiple Regression Outputs'!$B$18+K106*'Multiple Regression Outputs'!$B$19+L106*'Multiple Regression Outputs'!$B$20+M106*'Multiple Regression Outputs'!$B$21+N106*'Multiple Regression Outputs'!$B$22+O106*'Multiple Regression Outputs'!$B$23+P106*'Multiple Regression Outputs'!$B$24+Q106*'Multiple Regression Outputs'!$B$25+R106*'Multiple Regression Outputs'!$B$26+S106*'Multiple Regression Outputs'!$B$27+T106*'Multiple Regression Outputs'!$B$28</f>
        <v>706648.0742780352</v>
      </c>
      <c r="V106" s="2">
        <f t="shared" si="1"/>
        <v>20579.125721964752</v>
      </c>
    </row>
    <row r="107" spans="1:22" ht="15" customHeight="1">
      <c r="A107" s="2">
        <v>106</v>
      </c>
      <c r="B107" s="2" t="s">
        <v>52</v>
      </c>
      <c r="C107" s="2" t="s">
        <v>18</v>
      </c>
      <c r="D107" s="2" t="s">
        <v>31</v>
      </c>
      <c r="E107" s="2" t="s">
        <v>22</v>
      </c>
      <c r="F107" s="2">
        <v>783797.89</v>
      </c>
      <c r="G107" s="2">
        <v>74679.350000000006</v>
      </c>
      <c r="H107" s="2">
        <v>8739</v>
      </c>
      <c r="I107" s="2">
        <v>5.6000000000000001E-2</v>
      </c>
      <c r="J107" s="2">
        <v>21</v>
      </c>
      <c r="K107" s="2">
        <v>91.8</v>
      </c>
      <c r="L107" s="2">
        <v>2.83</v>
      </c>
      <c r="M107" s="2">
        <v>0</v>
      </c>
      <c r="N107" s="2">
        <v>3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1</v>
      </c>
      <c r="U107" s="2">
        <f>'Multiple Regression Outputs'!$B$14+G107*'Multiple Regression Outputs'!$B$15+H107*'Multiple Regression Outputs'!$B$16+I107*'Multiple Regression Outputs'!$B$17+J107*'Multiple Regression Outputs'!$B$18+K107*'Multiple Regression Outputs'!$B$19+L107*'Multiple Regression Outputs'!$B$20+M107*'Multiple Regression Outputs'!$B$21+N107*'Multiple Regression Outputs'!$B$22+O107*'Multiple Regression Outputs'!$B$23+P107*'Multiple Regression Outputs'!$B$24+Q107*'Multiple Regression Outputs'!$B$25+R107*'Multiple Regression Outputs'!$B$26+S107*'Multiple Regression Outputs'!$B$27+T107*'Multiple Regression Outputs'!$B$28</f>
        <v>796658.61666285514</v>
      </c>
      <c r="V107" s="2">
        <f t="shared" si="1"/>
        <v>-12860.72666285513</v>
      </c>
    </row>
    <row r="108" spans="1:22" ht="15" customHeight="1">
      <c r="A108" s="2">
        <v>107</v>
      </c>
      <c r="B108" s="2" t="s">
        <v>52</v>
      </c>
      <c r="C108" s="2" t="s">
        <v>19</v>
      </c>
      <c r="D108" s="2" t="s">
        <v>31</v>
      </c>
      <c r="E108" s="2" t="s">
        <v>22</v>
      </c>
      <c r="F108" s="2">
        <v>795153.84</v>
      </c>
      <c r="G108" s="2">
        <v>64294.23</v>
      </c>
      <c r="H108" s="2">
        <v>6992</v>
      </c>
      <c r="I108" s="2">
        <v>0.13300000000000001</v>
      </c>
      <c r="J108" s="2">
        <v>14</v>
      </c>
      <c r="K108" s="2">
        <v>94.1</v>
      </c>
      <c r="L108" s="2">
        <v>0.25</v>
      </c>
      <c r="M108" s="2">
        <v>0</v>
      </c>
      <c r="N108" s="2">
        <v>3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  <c r="T108" s="2">
        <v>1</v>
      </c>
      <c r="U108" s="2">
        <f>'Multiple Regression Outputs'!$B$14+G108*'Multiple Regression Outputs'!$B$15+H108*'Multiple Regression Outputs'!$B$16+I108*'Multiple Regression Outputs'!$B$17+J108*'Multiple Regression Outputs'!$B$18+K108*'Multiple Regression Outputs'!$B$19+L108*'Multiple Regression Outputs'!$B$20+M108*'Multiple Regression Outputs'!$B$21+N108*'Multiple Regression Outputs'!$B$22+O108*'Multiple Regression Outputs'!$B$23+P108*'Multiple Regression Outputs'!$B$24+Q108*'Multiple Regression Outputs'!$B$25+R108*'Multiple Regression Outputs'!$B$26+S108*'Multiple Regression Outputs'!$B$27+T108*'Multiple Regression Outputs'!$B$28</f>
        <v>724515.91719992249</v>
      </c>
      <c r="V108" s="2">
        <f t="shared" si="1"/>
        <v>70637.922800077475</v>
      </c>
    </row>
    <row r="109" spans="1:22" ht="15" customHeight="1">
      <c r="A109" s="2">
        <v>108</v>
      </c>
      <c r="B109" s="2" t="s">
        <v>52</v>
      </c>
      <c r="C109" s="2" t="s">
        <v>20</v>
      </c>
      <c r="D109" s="2" t="s">
        <v>31</v>
      </c>
      <c r="E109" s="2" t="s">
        <v>22</v>
      </c>
      <c r="F109" s="2">
        <v>665594.93999999994</v>
      </c>
      <c r="G109" s="2">
        <v>31042.03</v>
      </c>
      <c r="H109" s="2">
        <v>7107</v>
      </c>
      <c r="I109" s="2">
        <v>5.0999999999999997E-2</v>
      </c>
      <c r="J109" s="2">
        <v>15</v>
      </c>
      <c r="K109" s="2">
        <v>87</v>
      </c>
      <c r="L109" s="2">
        <v>13.33</v>
      </c>
      <c r="M109" s="2">
        <v>0</v>
      </c>
      <c r="N109" s="2">
        <v>3.2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1</v>
      </c>
      <c r="U109" s="2">
        <f>'Multiple Regression Outputs'!$B$14+G109*'Multiple Regression Outputs'!$B$15+H109*'Multiple Regression Outputs'!$B$16+I109*'Multiple Regression Outputs'!$B$17+J109*'Multiple Regression Outputs'!$B$18+K109*'Multiple Regression Outputs'!$B$19+L109*'Multiple Regression Outputs'!$B$20+M109*'Multiple Regression Outputs'!$B$21+N109*'Multiple Regression Outputs'!$B$22+O109*'Multiple Regression Outputs'!$B$23+P109*'Multiple Regression Outputs'!$B$24+Q109*'Multiple Regression Outputs'!$B$25+R109*'Multiple Regression Outputs'!$B$26+S109*'Multiple Regression Outputs'!$B$27+T109*'Multiple Regression Outputs'!$B$28</f>
        <v>630106.8805342284</v>
      </c>
      <c r="V109" s="2">
        <f t="shared" si="1"/>
        <v>35488.059465771541</v>
      </c>
    </row>
    <row r="110" spans="1:22" ht="15" customHeight="1">
      <c r="A110" s="2">
        <v>109</v>
      </c>
      <c r="B110" s="2" t="s">
        <v>53</v>
      </c>
      <c r="C110" s="2" t="s">
        <v>15</v>
      </c>
      <c r="D110" s="2" t="s">
        <v>16</v>
      </c>
      <c r="E110" s="2" t="s">
        <v>32</v>
      </c>
      <c r="F110" s="2">
        <v>709478.39</v>
      </c>
      <c r="G110" s="2">
        <v>75265.02</v>
      </c>
      <c r="H110" s="2">
        <v>6975</v>
      </c>
      <c r="I110" s="2">
        <v>0.157</v>
      </c>
      <c r="J110" s="2">
        <v>20</v>
      </c>
      <c r="K110" s="2">
        <v>73.8</v>
      </c>
      <c r="L110" s="2">
        <v>6.35</v>
      </c>
      <c r="M110" s="2">
        <v>1</v>
      </c>
      <c r="N110" s="2">
        <v>3.8</v>
      </c>
      <c r="O110" s="2">
        <v>0</v>
      </c>
      <c r="P110" s="2">
        <v>1</v>
      </c>
      <c r="Q110" s="2">
        <v>0</v>
      </c>
      <c r="R110" s="2">
        <v>0</v>
      </c>
      <c r="S110" s="2">
        <v>0</v>
      </c>
      <c r="T110" s="2">
        <v>0</v>
      </c>
      <c r="U110" s="2">
        <f>'Multiple Regression Outputs'!$B$14+G110*'Multiple Regression Outputs'!$B$15+H110*'Multiple Regression Outputs'!$B$16+I110*'Multiple Regression Outputs'!$B$17+J110*'Multiple Regression Outputs'!$B$18+K110*'Multiple Regression Outputs'!$B$19+L110*'Multiple Regression Outputs'!$B$20+M110*'Multiple Regression Outputs'!$B$21+N110*'Multiple Regression Outputs'!$B$22+O110*'Multiple Regression Outputs'!$B$23+P110*'Multiple Regression Outputs'!$B$24+Q110*'Multiple Regression Outputs'!$B$25+R110*'Multiple Regression Outputs'!$B$26+S110*'Multiple Regression Outputs'!$B$27+T110*'Multiple Regression Outputs'!$B$28</f>
        <v>686737.33750561264</v>
      </c>
      <c r="V110" s="2">
        <f t="shared" si="1"/>
        <v>22741.052494387375</v>
      </c>
    </row>
    <row r="111" spans="1:22" ht="15" customHeight="1">
      <c r="A111" s="2">
        <v>110</v>
      </c>
      <c r="B111" s="2" t="s">
        <v>53</v>
      </c>
      <c r="C111" s="2" t="s">
        <v>18</v>
      </c>
      <c r="D111" s="2" t="s">
        <v>16</v>
      </c>
      <c r="E111" s="2" t="s">
        <v>32</v>
      </c>
      <c r="F111" s="2">
        <v>664162.49</v>
      </c>
      <c r="G111" s="2">
        <v>69411.7</v>
      </c>
      <c r="H111" s="2">
        <v>5493</v>
      </c>
      <c r="I111" s="2">
        <v>0.29199999999999998</v>
      </c>
      <c r="J111" s="2">
        <v>13</v>
      </c>
      <c r="K111" s="2">
        <v>86.5</v>
      </c>
      <c r="L111" s="2">
        <v>6.69</v>
      </c>
      <c r="M111" s="2">
        <v>0</v>
      </c>
      <c r="N111" s="2">
        <v>3.8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  <c r="T111" s="2">
        <v>0</v>
      </c>
      <c r="U111" s="2">
        <f>'Multiple Regression Outputs'!$B$14+G111*'Multiple Regression Outputs'!$B$15+H111*'Multiple Regression Outputs'!$B$16+I111*'Multiple Regression Outputs'!$B$17+J111*'Multiple Regression Outputs'!$B$18+K111*'Multiple Regression Outputs'!$B$19+L111*'Multiple Regression Outputs'!$B$20+M111*'Multiple Regression Outputs'!$B$21+N111*'Multiple Regression Outputs'!$B$22+O111*'Multiple Regression Outputs'!$B$23+P111*'Multiple Regression Outputs'!$B$24+Q111*'Multiple Regression Outputs'!$B$25+R111*'Multiple Regression Outputs'!$B$26+S111*'Multiple Regression Outputs'!$B$27+T111*'Multiple Regression Outputs'!$B$28</f>
        <v>631580.20556575572</v>
      </c>
      <c r="V111" s="2">
        <f t="shared" si="1"/>
        <v>32582.28443424427</v>
      </c>
    </row>
    <row r="112" spans="1:22" ht="15" customHeight="1">
      <c r="A112" s="2">
        <v>111</v>
      </c>
      <c r="B112" s="2" t="s">
        <v>53</v>
      </c>
      <c r="C112" s="2" t="s">
        <v>19</v>
      </c>
      <c r="D112" s="2" t="s">
        <v>16</v>
      </c>
      <c r="E112" s="2" t="s">
        <v>32</v>
      </c>
      <c r="F112" s="2">
        <v>633494.21</v>
      </c>
      <c r="G112" s="2">
        <v>51056.15</v>
      </c>
      <c r="H112" s="2">
        <v>5686</v>
      </c>
      <c r="I112" s="2">
        <v>8.8999999999999996E-2</v>
      </c>
      <c r="J112" s="2">
        <v>13</v>
      </c>
      <c r="K112" s="2">
        <v>89.9</v>
      </c>
      <c r="L112" s="2">
        <v>1.28</v>
      </c>
      <c r="M112" s="2">
        <v>0</v>
      </c>
      <c r="N112" s="2">
        <v>4.2</v>
      </c>
      <c r="O112" s="2">
        <v>0</v>
      </c>
      <c r="P112" s="2">
        <v>1</v>
      </c>
      <c r="Q112" s="2">
        <v>0</v>
      </c>
      <c r="R112" s="2">
        <v>0</v>
      </c>
      <c r="S112" s="2">
        <v>0</v>
      </c>
      <c r="T112" s="2">
        <v>0</v>
      </c>
      <c r="U112" s="2">
        <f>'Multiple Regression Outputs'!$B$14+G112*'Multiple Regression Outputs'!$B$15+H112*'Multiple Regression Outputs'!$B$16+I112*'Multiple Regression Outputs'!$B$17+J112*'Multiple Regression Outputs'!$B$18+K112*'Multiple Regression Outputs'!$B$19+L112*'Multiple Regression Outputs'!$B$20+M112*'Multiple Regression Outputs'!$B$21+N112*'Multiple Regression Outputs'!$B$22+O112*'Multiple Regression Outputs'!$B$23+P112*'Multiple Regression Outputs'!$B$24+Q112*'Multiple Regression Outputs'!$B$25+R112*'Multiple Regression Outputs'!$B$26+S112*'Multiple Regression Outputs'!$B$27+T112*'Multiple Regression Outputs'!$B$28</f>
        <v>657035.01073413761</v>
      </c>
      <c r="V112" s="2">
        <f t="shared" si="1"/>
        <v>-23540.800734137651</v>
      </c>
    </row>
    <row r="113" spans="1:22" ht="15" customHeight="1">
      <c r="A113" s="2">
        <v>112</v>
      </c>
      <c r="B113" s="2" t="s">
        <v>53</v>
      </c>
      <c r="C113" s="2" t="s">
        <v>20</v>
      </c>
      <c r="D113" s="2" t="s">
        <v>16</v>
      </c>
      <c r="E113" s="2" t="s">
        <v>32</v>
      </c>
      <c r="F113" s="2">
        <v>713611.16</v>
      </c>
      <c r="G113" s="2">
        <v>52758.01</v>
      </c>
      <c r="H113" s="2">
        <v>4063</v>
      </c>
      <c r="I113" s="2">
        <v>5.7000000000000002E-2</v>
      </c>
      <c r="J113" s="2">
        <v>12</v>
      </c>
      <c r="K113" s="2">
        <v>91.7</v>
      </c>
      <c r="L113" s="2">
        <v>0.92</v>
      </c>
      <c r="M113" s="2">
        <v>0</v>
      </c>
      <c r="N113" s="2">
        <v>3.5</v>
      </c>
      <c r="O113" s="2">
        <v>0</v>
      </c>
      <c r="P113" s="2">
        <v>1</v>
      </c>
      <c r="Q113" s="2">
        <v>0</v>
      </c>
      <c r="R113" s="2">
        <v>0</v>
      </c>
      <c r="S113" s="2">
        <v>0</v>
      </c>
      <c r="T113" s="2">
        <v>0</v>
      </c>
      <c r="U113" s="2">
        <f>'Multiple Regression Outputs'!$B$14+G113*'Multiple Regression Outputs'!$B$15+H113*'Multiple Regression Outputs'!$B$16+I113*'Multiple Regression Outputs'!$B$17+J113*'Multiple Regression Outputs'!$B$18+K113*'Multiple Regression Outputs'!$B$19+L113*'Multiple Regression Outputs'!$B$20+M113*'Multiple Regression Outputs'!$B$21+N113*'Multiple Regression Outputs'!$B$22+O113*'Multiple Regression Outputs'!$B$23+P113*'Multiple Regression Outputs'!$B$24+Q113*'Multiple Regression Outputs'!$B$25+R113*'Multiple Regression Outputs'!$B$26+S113*'Multiple Regression Outputs'!$B$27+T113*'Multiple Regression Outputs'!$B$28</f>
        <v>610531.95149896434</v>
      </c>
      <c r="V113" s="2">
        <f t="shared" si="1"/>
        <v>103079.2085010357</v>
      </c>
    </row>
    <row r="114" spans="1:22" ht="15" customHeight="1">
      <c r="A114" s="2">
        <v>113</v>
      </c>
      <c r="B114" s="2" t="s">
        <v>54</v>
      </c>
      <c r="C114" s="2" t="s">
        <v>15</v>
      </c>
      <c r="D114" s="2" t="s">
        <v>31</v>
      </c>
      <c r="E114" s="2" t="s">
        <v>32</v>
      </c>
      <c r="F114" s="2">
        <v>778397.97</v>
      </c>
      <c r="G114" s="2">
        <v>61426.04</v>
      </c>
      <c r="H114" s="2">
        <v>8966</v>
      </c>
      <c r="I114" s="2">
        <v>0.17299999999999999</v>
      </c>
      <c r="J114" s="2">
        <v>22</v>
      </c>
      <c r="K114" s="2">
        <v>76.400000000000006</v>
      </c>
      <c r="L114" s="2">
        <v>1.05</v>
      </c>
      <c r="M114" s="2">
        <v>0</v>
      </c>
      <c r="N114" s="2">
        <v>3.1</v>
      </c>
      <c r="O114" s="2">
        <v>0</v>
      </c>
      <c r="P114" s="2">
        <v>1</v>
      </c>
      <c r="Q114" s="2">
        <v>0</v>
      </c>
      <c r="R114" s="2">
        <v>0</v>
      </c>
      <c r="S114" s="2">
        <v>0</v>
      </c>
      <c r="T114" s="2">
        <v>1</v>
      </c>
      <c r="U114" s="2">
        <f>'Multiple Regression Outputs'!$B$14+G114*'Multiple Regression Outputs'!$B$15+H114*'Multiple Regression Outputs'!$B$16+I114*'Multiple Regression Outputs'!$B$17+J114*'Multiple Regression Outputs'!$B$18+K114*'Multiple Regression Outputs'!$B$19+L114*'Multiple Regression Outputs'!$B$20+M114*'Multiple Regression Outputs'!$B$21+N114*'Multiple Regression Outputs'!$B$22+O114*'Multiple Regression Outputs'!$B$23+P114*'Multiple Regression Outputs'!$B$24+Q114*'Multiple Regression Outputs'!$B$25+R114*'Multiple Regression Outputs'!$B$26+S114*'Multiple Regression Outputs'!$B$27+T114*'Multiple Regression Outputs'!$B$28</f>
        <v>758337.66050520446</v>
      </c>
      <c r="V114" s="2">
        <f t="shared" si="1"/>
        <v>20060.309494795511</v>
      </c>
    </row>
    <row r="115" spans="1:22" ht="15" customHeight="1">
      <c r="A115" s="2">
        <v>114</v>
      </c>
      <c r="B115" s="2" t="s">
        <v>54</v>
      </c>
      <c r="C115" s="2" t="s">
        <v>18</v>
      </c>
      <c r="D115" s="2" t="s">
        <v>31</v>
      </c>
      <c r="E115" s="2" t="s">
        <v>32</v>
      </c>
      <c r="F115" s="2">
        <v>873380.02</v>
      </c>
      <c r="G115" s="2">
        <v>80176.34</v>
      </c>
      <c r="H115" s="2">
        <v>9489</v>
      </c>
      <c r="I115" s="2">
        <v>0.14199999999999999</v>
      </c>
      <c r="J115" s="2">
        <v>22</v>
      </c>
      <c r="K115" s="2">
        <v>94.3</v>
      </c>
      <c r="L115" s="2">
        <v>2.67</v>
      </c>
      <c r="M115" s="2">
        <v>0</v>
      </c>
      <c r="N115" s="2">
        <v>3.5</v>
      </c>
      <c r="O115" s="2">
        <v>0</v>
      </c>
      <c r="P115" s="2">
        <v>1</v>
      </c>
      <c r="Q115" s="2">
        <v>0</v>
      </c>
      <c r="R115" s="2">
        <v>0</v>
      </c>
      <c r="S115" s="2">
        <v>0</v>
      </c>
      <c r="T115" s="2">
        <v>1</v>
      </c>
      <c r="U115" s="2">
        <f>'Multiple Regression Outputs'!$B$14+G115*'Multiple Regression Outputs'!$B$15+H115*'Multiple Regression Outputs'!$B$16+I115*'Multiple Regression Outputs'!$B$17+J115*'Multiple Regression Outputs'!$B$18+K115*'Multiple Regression Outputs'!$B$19+L115*'Multiple Regression Outputs'!$B$20+M115*'Multiple Regression Outputs'!$B$21+N115*'Multiple Regression Outputs'!$B$22+O115*'Multiple Regression Outputs'!$B$23+P115*'Multiple Regression Outputs'!$B$24+Q115*'Multiple Regression Outputs'!$B$25+R115*'Multiple Regression Outputs'!$B$26+S115*'Multiple Regression Outputs'!$B$27+T115*'Multiple Regression Outputs'!$B$28</f>
        <v>850847.16403052816</v>
      </c>
      <c r="V115" s="2">
        <f t="shared" si="1"/>
        <v>22532.855969471857</v>
      </c>
    </row>
    <row r="116" spans="1:22" ht="15" customHeight="1">
      <c r="A116" s="2">
        <v>115</v>
      </c>
      <c r="B116" s="2" t="s">
        <v>54</v>
      </c>
      <c r="C116" s="2" t="s">
        <v>19</v>
      </c>
      <c r="D116" s="2" t="s">
        <v>31</v>
      </c>
      <c r="E116" s="2" t="s">
        <v>32</v>
      </c>
      <c r="F116" s="2">
        <v>697287.9</v>
      </c>
      <c r="G116" s="2">
        <v>33605.18</v>
      </c>
      <c r="H116" s="2">
        <v>9225</v>
      </c>
      <c r="I116" s="2">
        <v>0.159</v>
      </c>
      <c r="J116" s="2">
        <v>23</v>
      </c>
      <c r="K116" s="2">
        <v>88.4</v>
      </c>
      <c r="L116" s="2">
        <v>5.91</v>
      </c>
      <c r="M116" s="2">
        <v>0</v>
      </c>
      <c r="N116" s="2">
        <v>2.8</v>
      </c>
      <c r="O116" s="2">
        <v>0</v>
      </c>
      <c r="P116" s="2">
        <v>1</v>
      </c>
      <c r="Q116" s="2">
        <v>0</v>
      </c>
      <c r="R116" s="2">
        <v>0</v>
      </c>
      <c r="S116" s="2">
        <v>0</v>
      </c>
      <c r="T116" s="2">
        <v>1</v>
      </c>
      <c r="U116" s="2">
        <f>'Multiple Regression Outputs'!$B$14+G116*'Multiple Regression Outputs'!$B$15+H116*'Multiple Regression Outputs'!$B$16+I116*'Multiple Regression Outputs'!$B$17+J116*'Multiple Regression Outputs'!$B$18+K116*'Multiple Regression Outputs'!$B$19+L116*'Multiple Regression Outputs'!$B$20+M116*'Multiple Regression Outputs'!$B$21+N116*'Multiple Regression Outputs'!$B$22+O116*'Multiple Regression Outputs'!$B$23+P116*'Multiple Regression Outputs'!$B$24+Q116*'Multiple Regression Outputs'!$B$25+R116*'Multiple Regression Outputs'!$B$26+S116*'Multiple Regression Outputs'!$B$27+T116*'Multiple Regression Outputs'!$B$28</f>
        <v>752126.76761210721</v>
      </c>
      <c r="V116" s="2">
        <f t="shared" si="1"/>
        <v>-54838.867612107191</v>
      </c>
    </row>
    <row r="117" spans="1:22" ht="15" customHeight="1">
      <c r="A117" s="2">
        <v>116</v>
      </c>
      <c r="B117" s="2" t="s">
        <v>54</v>
      </c>
      <c r="C117" s="2" t="s">
        <v>20</v>
      </c>
      <c r="D117" s="2" t="s">
        <v>31</v>
      </c>
      <c r="E117" s="2" t="s">
        <v>32</v>
      </c>
      <c r="F117" s="2">
        <v>718074.79</v>
      </c>
      <c r="G117" s="2">
        <v>25990.54</v>
      </c>
      <c r="H117" s="2">
        <v>9249</v>
      </c>
      <c r="I117" s="2">
        <v>0.13900000000000001</v>
      </c>
      <c r="J117" s="2">
        <v>23</v>
      </c>
      <c r="K117" s="2">
        <v>92.5</v>
      </c>
      <c r="L117" s="2">
        <v>6.37</v>
      </c>
      <c r="M117" s="2">
        <v>0</v>
      </c>
      <c r="N117" s="2">
        <v>3.3</v>
      </c>
      <c r="O117" s="2">
        <v>0</v>
      </c>
      <c r="P117" s="2">
        <v>1</v>
      </c>
      <c r="Q117" s="2">
        <v>0</v>
      </c>
      <c r="R117" s="2">
        <v>0</v>
      </c>
      <c r="S117" s="2">
        <v>0</v>
      </c>
      <c r="T117" s="2">
        <v>1</v>
      </c>
      <c r="U117" s="2">
        <f>'Multiple Regression Outputs'!$B$14+G117*'Multiple Regression Outputs'!$B$15+H117*'Multiple Regression Outputs'!$B$16+I117*'Multiple Regression Outputs'!$B$17+J117*'Multiple Regression Outputs'!$B$18+K117*'Multiple Regression Outputs'!$B$19+L117*'Multiple Regression Outputs'!$B$20+M117*'Multiple Regression Outputs'!$B$21+N117*'Multiple Regression Outputs'!$B$22+O117*'Multiple Regression Outputs'!$B$23+P117*'Multiple Regression Outputs'!$B$24+Q117*'Multiple Regression Outputs'!$B$25+R117*'Multiple Regression Outputs'!$B$26+S117*'Multiple Regression Outputs'!$B$27+T117*'Multiple Regression Outputs'!$B$28</f>
        <v>761622.79255622986</v>
      </c>
      <c r="V117" s="2">
        <f t="shared" si="1"/>
        <v>-43548.002556229825</v>
      </c>
    </row>
    <row r="118" spans="1:22" ht="15" customHeight="1">
      <c r="A118" s="2">
        <v>117</v>
      </c>
      <c r="B118" s="2" t="s">
        <v>55</v>
      </c>
      <c r="C118" s="2" t="s">
        <v>15</v>
      </c>
      <c r="D118" s="2" t="s">
        <v>31</v>
      </c>
      <c r="E118" s="2" t="s">
        <v>17</v>
      </c>
      <c r="F118" s="2">
        <v>714942.43</v>
      </c>
      <c r="G118" s="2">
        <v>43685.14</v>
      </c>
      <c r="H118" s="2">
        <v>7821</v>
      </c>
      <c r="I118" s="2">
        <v>0.19</v>
      </c>
      <c r="J118" s="2">
        <v>17</v>
      </c>
      <c r="K118" s="2">
        <v>91</v>
      </c>
      <c r="L118" s="2">
        <v>2.4900000000000002</v>
      </c>
      <c r="M118" s="2">
        <v>1</v>
      </c>
      <c r="N118" s="2">
        <v>4.7</v>
      </c>
      <c r="O118" s="2">
        <v>0</v>
      </c>
      <c r="P118" s="2">
        <v>0</v>
      </c>
      <c r="Q118" s="2">
        <v>1</v>
      </c>
      <c r="R118" s="2">
        <v>0</v>
      </c>
      <c r="S118" s="2">
        <v>0</v>
      </c>
      <c r="T118" s="2">
        <v>1</v>
      </c>
      <c r="U118" s="2">
        <f>'Multiple Regression Outputs'!$B$14+G118*'Multiple Regression Outputs'!$B$15+H118*'Multiple Regression Outputs'!$B$16+I118*'Multiple Regression Outputs'!$B$17+J118*'Multiple Regression Outputs'!$B$18+K118*'Multiple Regression Outputs'!$B$19+L118*'Multiple Regression Outputs'!$B$20+M118*'Multiple Regression Outputs'!$B$21+N118*'Multiple Regression Outputs'!$B$22+O118*'Multiple Regression Outputs'!$B$23+P118*'Multiple Regression Outputs'!$B$24+Q118*'Multiple Regression Outputs'!$B$25+R118*'Multiple Regression Outputs'!$B$26+S118*'Multiple Regression Outputs'!$B$27+T118*'Multiple Regression Outputs'!$B$28</f>
        <v>729426.33434602269</v>
      </c>
      <c r="V118" s="2">
        <f t="shared" si="1"/>
        <v>-14483.904346022638</v>
      </c>
    </row>
    <row r="119" spans="1:22" ht="15" customHeight="1">
      <c r="A119" s="2">
        <v>118</v>
      </c>
      <c r="B119" s="2" t="s">
        <v>55</v>
      </c>
      <c r="C119" s="2" t="s">
        <v>18</v>
      </c>
      <c r="D119" s="2" t="s">
        <v>31</v>
      </c>
      <c r="E119" s="2" t="s">
        <v>17</v>
      </c>
      <c r="F119" s="2">
        <v>820519.04</v>
      </c>
      <c r="G119" s="2">
        <v>57360.01</v>
      </c>
      <c r="H119" s="2">
        <v>8434</v>
      </c>
      <c r="I119" s="2">
        <v>0.151</v>
      </c>
      <c r="J119" s="2">
        <v>19</v>
      </c>
      <c r="K119" s="2">
        <v>84.1</v>
      </c>
      <c r="L119" s="2">
        <v>1.56</v>
      </c>
      <c r="M119" s="2">
        <v>0</v>
      </c>
      <c r="N119" s="2">
        <v>4.7</v>
      </c>
      <c r="O119" s="2">
        <v>0</v>
      </c>
      <c r="P119" s="2">
        <v>0</v>
      </c>
      <c r="Q119" s="2">
        <v>1</v>
      </c>
      <c r="R119" s="2">
        <v>0</v>
      </c>
      <c r="S119" s="2">
        <v>0</v>
      </c>
      <c r="T119" s="2">
        <v>1</v>
      </c>
      <c r="U119" s="2">
        <f>'Multiple Regression Outputs'!$B$14+G119*'Multiple Regression Outputs'!$B$15+H119*'Multiple Regression Outputs'!$B$16+I119*'Multiple Regression Outputs'!$B$17+J119*'Multiple Regression Outputs'!$B$18+K119*'Multiple Regression Outputs'!$B$19+L119*'Multiple Regression Outputs'!$B$20+M119*'Multiple Regression Outputs'!$B$21+N119*'Multiple Regression Outputs'!$B$22+O119*'Multiple Regression Outputs'!$B$23+P119*'Multiple Regression Outputs'!$B$24+Q119*'Multiple Regression Outputs'!$B$25+R119*'Multiple Regression Outputs'!$B$26+S119*'Multiple Regression Outputs'!$B$27+T119*'Multiple Regression Outputs'!$B$28</f>
        <v>738265.21984196815</v>
      </c>
      <c r="V119" s="2">
        <f t="shared" si="1"/>
        <v>82253.820158031886</v>
      </c>
    </row>
    <row r="120" spans="1:22" ht="15" customHeight="1">
      <c r="A120" s="2">
        <v>119</v>
      </c>
      <c r="B120" s="2" t="s">
        <v>55</v>
      </c>
      <c r="C120" s="2" t="s">
        <v>19</v>
      </c>
      <c r="D120" s="2" t="s">
        <v>31</v>
      </c>
      <c r="E120" s="2" t="s">
        <v>17</v>
      </c>
      <c r="F120" s="2">
        <v>684217.32</v>
      </c>
      <c r="G120" s="2">
        <v>42415.47</v>
      </c>
      <c r="H120" s="2">
        <v>8512</v>
      </c>
      <c r="I120" s="2">
        <v>0.13300000000000001</v>
      </c>
      <c r="J120" s="2">
        <v>18</v>
      </c>
      <c r="K120" s="2">
        <v>96.8</v>
      </c>
      <c r="L120" s="2">
        <v>14.95</v>
      </c>
      <c r="M120" s="2">
        <v>0</v>
      </c>
      <c r="N120" s="2">
        <v>4.5999999999999996</v>
      </c>
      <c r="O120" s="2">
        <v>0</v>
      </c>
      <c r="P120" s="2">
        <v>0</v>
      </c>
      <c r="Q120" s="2">
        <v>1</v>
      </c>
      <c r="R120" s="2">
        <v>0</v>
      </c>
      <c r="S120" s="2">
        <v>0</v>
      </c>
      <c r="T120" s="2">
        <v>1</v>
      </c>
      <c r="U120" s="2">
        <f>'Multiple Regression Outputs'!$B$14+G120*'Multiple Regression Outputs'!$B$15+H120*'Multiple Regression Outputs'!$B$16+I120*'Multiple Regression Outputs'!$B$17+J120*'Multiple Regression Outputs'!$B$18+K120*'Multiple Regression Outputs'!$B$19+L120*'Multiple Regression Outputs'!$B$20+M120*'Multiple Regression Outputs'!$B$21+N120*'Multiple Regression Outputs'!$B$22+O120*'Multiple Regression Outputs'!$B$23+P120*'Multiple Regression Outputs'!$B$24+Q120*'Multiple Regression Outputs'!$B$25+R120*'Multiple Regression Outputs'!$B$26+S120*'Multiple Regression Outputs'!$B$27+T120*'Multiple Regression Outputs'!$B$28</f>
        <v>711152.45538224687</v>
      </c>
      <c r="V120" s="2">
        <f t="shared" si="1"/>
        <v>-26935.135382246925</v>
      </c>
    </row>
    <row r="121" spans="1:22" ht="15" customHeight="1">
      <c r="A121" s="2">
        <v>120</v>
      </c>
      <c r="B121" s="2" t="s">
        <v>55</v>
      </c>
      <c r="C121" s="2" t="s">
        <v>20</v>
      </c>
      <c r="D121" s="2" t="s">
        <v>31</v>
      </c>
      <c r="E121" s="2" t="s">
        <v>17</v>
      </c>
      <c r="F121" s="2">
        <v>735480.19</v>
      </c>
      <c r="G121" s="2">
        <v>54968.98</v>
      </c>
      <c r="H121" s="2">
        <v>7816</v>
      </c>
      <c r="I121" s="2">
        <v>0.23200000000000001</v>
      </c>
      <c r="J121" s="2">
        <v>19</v>
      </c>
      <c r="K121" s="2">
        <v>95.7</v>
      </c>
      <c r="L121" s="2">
        <v>7.85</v>
      </c>
      <c r="M121" s="2">
        <v>0</v>
      </c>
      <c r="N121" s="2">
        <v>4.7</v>
      </c>
      <c r="O121" s="2">
        <v>0</v>
      </c>
      <c r="P121" s="2">
        <v>0</v>
      </c>
      <c r="Q121" s="2">
        <v>1</v>
      </c>
      <c r="R121" s="2">
        <v>0</v>
      </c>
      <c r="S121" s="2">
        <v>0</v>
      </c>
      <c r="T121" s="2">
        <v>1</v>
      </c>
      <c r="U121" s="2">
        <f>'Multiple Regression Outputs'!$B$14+G121*'Multiple Regression Outputs'!$B$15+H121*'Multiple Regression Outputs'!$B$16+I121*'Multiple Regression Outputs'!$B$17+J121*'Multiple Regression Outputs'!$B$18+K121*'Multiple Regression Outputs'!$B$19+L121*'Multiple Regression Outputs'!$B$20+M121*'Multiple Regression Outputs'!$B$21+N121*'Multiple Regression Outputs'!$B$22+O121*'Multiple Regression Outputs'!$B$23+P121*'Multiple Regression Outputs'!$B$24+Q121*'Multiple Regression Outputs'!$B$25+R121*'Multiple Regression Outputs'!$B$26+S121*'Multiple Regression Outputs'!$B$27+T121*'Multiple Regression Outputs'!$B$28</f>
        <v>729033.72162381548</v>
      </c>
      <c r="V121" s="2">
        <f t="shared" si="1"/>
        <v>6446.4683761844644</v>
      </c>
    </row>
    <row r="122" spans="1:22" ht="15" customHeight="1">
      <c r="A122" s="2">
        <v>121</v>
      </c>
      <c r="B122" s="2" t="s">
        <v>56</v>
      </c>
      <c r="C122" s="2" t="s">
        <v>15</v>
      </c>
      <c r="D122" s="2" t="s">
        <v>24</v>
      </c>
      <c r="E122" s="2" t="s">
        <v>22</v>
      </c>
      <c r="F122" s="2">
        <v>509484.81</v>
      </c>
      <c r="G122" s="2">
        <v>43896.13</v>
      </c>
      <c r="H122" s="2">
        <v>3853</v>
      </c>
      <c r="I122" s="2">
        <v>8.7999999999999995E-2</v>
      </c>
      <c r="J122" s="2">
        <v>13</v>
      </c>
      <c r="K122" s="2">
        <v>83</v>
      </c>
      <c r="L122" s="2">
        <v>6.8</v>
      </c>
      <c r="M122" s="2">
        <v>0</v>
      </c>
      <c r="N122" s="2">
        <v>4.4000000000000004</v>
      </c>
      <c r="O122" s="2">
        <v>1</v>
      </c>
      <c r="P122" s="2">
        <v>0</v>
      </c>
      <c r="Q122" s="2">
        <v>0</v>
      </c>
      <c r="R122" s="2">
        <v>1</v>
      </c>
      <c r="S122" s="2">
        <v>0</v>
      </c>
      <c r="T122" s="2">
        <v>0</v>
      </c>
      <c r="U122" s="2">
        <f>'Multiple Regression Outputs'!$B$14+G122*'Multiple Regression Outputs'!$B$15+H122*'Multiple Regression Outputs'!$B$16+I122*'Multiple Regression Outputs'!$B$17+J122*'Multiple Regression Outputs'!$B$18+K122*'Multiple Regression Outputs'!$B$19+L122*'Multiple Regression Outputs'!$B$20+M122*'Multiple Regression Outputs'!$B$21+N122*'Multiple Regression Outputs'!$B$22+O122*'Multiple Regression Outputs'!$B$23+P122*'Multiple Regression Outputs'!$B$24+Q122*'Multiple Regression Outputs'!$B$25+R122*'Multiple Regression Outputs'!$B$26+S122*'Multiple Regression Outputs'!$B$27+T122*'Multiple Regression Outputs'!$B$28</f>
        <v>558035.30137347721</v>
      </c>
      <c r="V122" s="2">
        <f t="shared" si="1"/>
        <v>-48550.491373477213</v>
      </c>
    </row>
    <row r="123" spans="1:22" ht="15" customHeight="1">
      <c r="A123" s="2">
        <v>122</v>
      </c>
      <c r="B123" s="2" t="s">
        <v>56</v>
      </c>
      <c r="C123" s="2" t="s">
        <v>18</v>
      </c>
      <c r="D123" s="2" t="s">
        <v>24</v>
      </c>
      <c r="E123" s="2" t="s">
        <v>22</v>
      </c>
      <c r="F123" s="2">
        <v>654317.09</v>
      </c>
      <c r="G123" s="2">
        <v>83044.17</v>
      </c>
      <c r="H123" s="2">
        <v>3694</v>
      </c>
      <c r="I123" s="2">
        <v>0</v>
      </c>
      <c r="J123" s="2">
        <v>14</v>
      </c>
      <c r="K123" s="2">
        <v>89.4</v>
      </c>
      <c r="L123" s="2">
        <v>2.2000000000000002</v>
      </c>
      <c r="M123" s="2">
        <v>0</v>
      </c>
      <c r="N123" s="2">
        <v>3.7</v>
      </c>
      <c r="O123" s="2">
        <v>1</v>
      </c>
      <c r="P123" s="2">
        <v>0</v>
      </c>
      <c r="Q123" s="2">
        <v>0</v>
      </c>
      <c r="R123" s="2">
        <v>1</v>
      </c>
      <c r="S123" s="2">
        <v>0</v>
      </c>
      <c r="T123" s="2">
        <v>0</v>
      </c>
      <c r="U123" s="2">
        <f>'Multiple Regression Outputs'!$B$14+G123*'Multiple Regression Outputs'!$B$15+H123*'Multiple Regression Outputs'!$B$16+I123*'Multiple Regression Outputs'!$B$17+J123*'Multiple Regression Outputs'!$B$18+K123*'Multiple Regression Outputs'!$B$19+L123*'Multiple Regression Outputs'!$B$20+M123*'Multiple Regression Outputs'!$B$21+N123*'Multiple Regression Outputs'!$B$22+O123*'Multiple Regression Outputs'!$B$23+P123*'Multiple Regression Outputs'!$B$24+Q123*'Multiple Regression Outputs'!$B$25+R123*'Multiple Regression Outputs'!$B$26+S123*'Multiple Regression Outputs'!$B$27+T123*'Multiple Regression Outputs'!$B$28</f>
        <v>634849.7909640047</v>
      </c>
      <c r="V123" s="2">
        <f t="shared" si="1"/>
        <v>19467.299035995267</v>
      </c>
    </row>
    <row r="124" spans="1:22" ht="15" customHeight="1">
      <c r="A124" s="2">
        <v>123</v>
      </c>
      <c r="B124" s="2" t="s">
        <v>56</v>
      </c>
      <c r="C124" s="2" t="s">
        <v>19</v>
      </c>
      <c r="D124" s="2" t="s">
        <v>24</v>
      </c>
      <c r="E124" s="2" t="s">
        <v>22</v>
      </c>
      <c r="F124" s="2">
        <v>557487.26</v>
      </c>
      <c r="G124" s="2">
        <v>48396.13</v>
      </c>
      <c r="H124" s="2">
        <v>4423</v>
      </c>
      <c r="I124" s="2">
        <v>6.9000000000000006E-2</v>
      </c>
      <c r="J124" s="2">
        <v>15</v>
      </c>
      <c r="K124" s="2">
        <v>85.7</v>
      </c>
      <c r="L124" s="2">
        <v>1.88</v>
      </c>
      <c r="M124" s="2">
        <v>0</v>
      </c>
      <c r="N124" s="2">
        <v>3.9</v>
      </c>
      <c r="O124" s="2">
        <v>1</v>
      </c>
      <c r="P124" s="2">
        <v>0</v>
      </c>
      <c r="Q124" s="2">
        <v>0</v>
      </c>
      <c r="R124" s="2">
        <v>1</v>
      </c>
      <c r="S124" s="2">
        <v>0</v>
      </c>
      <c r="T124" s="2">
        <v>0</v>
      </c>
      <c r="U124" s="2">
        <f>'Multiple Regression Outputs'!$B$14+G124*'Multiple Regression Outputs'!$B$15+H124*'Multiple Regression Outputs'!$B$16+I124*'Multiple Regression Outputs'!$B$17+J124*'Multiple Regression Outputs'!$B$18+K124*'Multiple Regression Outputs'!$B$19+L124*'Multiple Regression Outputs'!$B$20+M124*'Multiple Regression Outputs'!$B$21+N124*'Multiple Regression Outputs'!$B$22+O124*'Multiple Regression Outputs'!$B$23+P124*'Multiple Regression Outputs'!$B$24+Q124*'Multiple Regression Outputs'!$B$25+R124*'Multiple Regression Outputs'!$B$26+S124*'Multiple Regression Outputs'!$B$27+T124*'Multiple Regression Outputs'!$B$28</f>
        <v>605790.75682439737</v>
      </c>
      <c r="V124" s="2">
        <f t="shared" si="1"/>
        <v>-48303.496824397356</v>
      </c>
    </row>
    <row r="125" spans="1:22" ht="15" customHeight="1">
      <c r="A125" s="2">
        <v>124</v>
      </c>
      <c r="B125" s="2" t="s">
        <v>56</v>
      </c>
      <c r="C125" s="2" t="s">
        <v>20</v>
      </c>
      <c r="D125" s="2" t="s">
        <v>24</v>
      </c>
      <c r="E125" s="2" t="s">
        <v>22</v>
      </c>
      <c r="F125" s="2">
        <v>441275.42</v>
      </c>
      <c r="G125" s="2">
        <v>19063.48</v>
      </c>
      <c r="H125" s="2">
        <v>1906</v>
      </c>
      <c r="I125" s="2">
        <v>0.216</v>
      </c>
      <c r="J125" s="2">
        <v>10</v>
      </c>
      <c r="K125" s="2">
        <v>97.8</v>
      </c>
      <c r="L125" s="2">
        <v>15.79</v>
      </c>
      <c r="M125" s="2">
        <v>0</v>
      </c>
      <c r="N125" s="2">
        <v>4.4000000000000004</v>
      </c>
      <c r="O125" s="2">
        <v>1</v>
      </c>
      <c r="P125" s="2">
        <v>0</v>
      </c>
      <c r="Q125" s="2">
        <v>0</v>
      </c>
      <c r="R125" s="2">
        <v>1</v>
      </c>
      <c r="S125" s="2">
        <v>0</v>
      </c>
      <c r="T125" s="2">
        <v>0</v>
      </c>
      <c r="U125" s="2">
        <f>'Multiple Regression Outputs'!$B$14+G125*'Multiple Regression Outputs'!$B$15+H125*'Multiple Regression Outputs'!$B$16+I125*'Multiple Regression Outputs'!$B$17+J125*'Multiple Regression Outputs'!$B$18+K125*'Multiple Regression Outputs'!$B$19+L125*'Multiple Regression Outputs'!$B$20+M125*'Multiple Regression Outputs'!$B$21+N125*'Multiple Regression Outputs'!$B$22+O125*'Multiple Regression Outputs'!$B$23+P125*'Multiple Regression Outputs'!$B$24+Q125*'Multiple Regression Outputs'!$B$25+R125*'Multiple Regression Outputs'!$B$26+S125*'Multiple Regression Outputs'!$B$27+T125*'Multiple Regression Outputs'!$B$28</f>
        <v>473373.80086966994</v>
      </c>
      <c r="V125" s="2">
        <f t="shared" si="1"/>
        <v>-32098.380869669956</v>
      </c>
    </row>
    <row r="126" spans="1:22" ht="15" customHeight="1">
      <c r="A126" s="2">
        <v>125</v>
      </c>
      <c r="B126" s="2" t="s">
        <v>57</v>
      </c>
      <c r="C126" s="2" t="s">
        <v>15</v>
      </c>
      <c r="D126" s="2" t="s">
        <v>28</v>
      </c>
      <c r="E126" s="2" t="s">
        <v>22</v>
      </c>
      <c r="F126" s="2">
        <v>914544.17</v>
      </c>
      <c r="G126" s="2">
        <v>61541.21</v>
      </c>
      <c r="H126" s="2">
        <v>10396</v>
      </c>
      <c r="I126" s="2">
        <v>0.123</v>
      </c>
      <c r="J126" s="2">
        <v>25</v>
      </c>
      <c r="K126" s="2">
        <v>88.1</v>
      </c>
      <c r="L126" s="2">
        <v>2.34</v>
      </c>
      <c r="M126" s="2">
        <v>1</v>
      </c>
      <c r="N126" s="2">
        <v>4.8</v>
      </c>
      <c r="O126" s="2">
        <v>1</v>
      </c>
      <c r="P126" s="2">
        <v>0</v>
      </c>
      <c r="Q126" s="2">
        <v>0</v>
      </c>
      <c r="R126" s="2">
        <v>0</v>
      </c>
      <c r="S126" s="2">
        <v>1</v>
      </c>
      <c r="T126" s="2">
        <v>0</v>
      </c>
      <c r="U126" s="2">
        <f>'Multiple Regression Outputs'!$B$14+G126*'Multiple Regression Outputs'!$B$15+H126*'Multiple Regression Outputs'!$B$16+I126*'Multiple Regression Outputs'!$B$17+J126*'Multiple Regression Outputs'!$B$18+K126*'Multiple Regression Outputs'!$B$19+L126*'Multiple Regression Outputs'!$B$20+M126*'Multiple Regression Outputs'!$B$21+N126*'Multiple Regression Outputs'!$B$22+O126*'Multiple Regression Outputs'!$B$23+P126*'Multiple Regression Outputs'!$B$24+Q126*'Multiple Regression Outputs'!$B$25+R126*'Multiple Regression Outputs'!$B$26+S126*'Multiple Regression Outputs'!$B$27+T126*'Multiple Regression Outputs'!$B$28</f>
        <v>861155.74646966346</v>
      </c>
      <c r="V126" s="2">
        <f t="shared" si="1"/>
        <v>53388.423530336586</v>
      </c>
    </row>
    <row r="127" spans="1:22" ht="15" customHeight="1">
      <c r="A127" s="2">
        <v>126</v>
      </c>
      <c r="B127" s="2" t="s">
        <v>57</v>
      </c>
      <c r="C127" s="2" t="s">
        <v>18</v>
      </c>
      <c r="D127" s="2" t="s">
        <v>28</v>
      </c>
      <c r="E127" s="2" t="s">
        <v>22</v>
      </c>
      <c r="F127" s="2">
        <v>842439.67</v>
      </c>
      <c r="G127" s="2">
        <v>44747</v>
      </c>
      <c r="H127" s="2">
        <v>11076</v>
      </c>
      <c r="I127" s="2">
        <v>0.17599999999999999</v>
      </c>
      <c r="J127" s="2">
        <v>27</v>
      </c>
      <c r="K127" s="2">
        <v>98.3</v>
      </c>
      <c r="L127" s="2">
        <v>0.54</v>
      </c>
      <c r="M127" s="2">
        <v>0</v>
      </c>
      <c r="N127" s="2">
        <v>4.4000000000000004</v>
      </c>
      <c r="O127" s="2">
        <v>1</v>
      </c>
      <c r="P127" s="2">
        <v>0</v>
      </c>
      <c r="Q127" s="2">
        <v>0</v>
      </c>
      <c r="R127" s="2">
        <v>0</v>
      </c>
      <c r="S127" s="2">
        <v>1</v>
      </c>
      <c r="T127" s="2">
        <v>0</v>
      </c>
      <c r="U127" s="2">
        <f>'Multiple Regression Outputs'!$B$14+G127*'Multiple Regression Outputs'!$B$15+H127*'Multiple Regression Outputs'!$B$16+I127*'Multiple Regression Outputs'!$B$17+J127*'Multiple Regression Outputs'!$B$18+K127*'Multiple Regression Outputs'!$B$19+L127*'Multiple Regression Outputs'!$B$20+M127*'Multiple Regression Outputs'!$B$21+N127*'Multiple Regression Outputs'!$B$22+O127*'Multiple Regression Outputs'!$B$23+P127*'Multiple Regression Outputs'!$B$24+Q127*'Multiple Regression Outputs'!$B$25+R127*'Multiple Regression Outputs'!$B$26+S127*'Multiple Regression Outputs'!$B$27+T127*'Multiple Regression Outputs'!$B$28</f>
        <v>881517.54454881372</v>
      </c>
      <c r="V127" s="2">
        <f t="shared" si="1"/>
        <v>-39077.874548813677</v>
      </c>
    </row>
    <row r="128" spans="1:22" ht="15" customHeight="1">
      <c r="A128" s="2">
        <v>127</v>
      </c>
      <c r="B128" s="2" t="s">
        <v>57</v>
      </c>
      <c r="C128" s="2" t="s">
        <v>19</v>
      </c>
      <c r="D128" s="2" t="s">
        <v>28</v>
      </c>
      <c r="E128" s="2" t="s">
        <v>22</v>
      </c>
      <c r="F128" s="2">
        <v>842157.92</v>
      </c>
      <c r="G128" s="2">
        <v>56517.9</v>
      </c>
      <c r="H128" s="2">
        <v>9574</v>
      </c>
      <c r="I128" s="2">
        <v>0.20399999999999999</v>
      </c>
      <c r="J128" s="2">
        <v>20</v>
      </c>
      <c r="K128" s="2">
        <v>88.2</v>
      </c>
      <c r="L128" s="2">
        <v>5.37</v>
      </c>
      <c r="M128" s="2">
        <v>1</v>
      </c>
      <c r="N128" s="2">
        <v>4.9000000000000004</v>
      </c>
      <c r="O128" s="2">
        <v>1</v>
      </c>
      <c r="P128" s="2">
        <v>0</v>
      </c>
      <c r="Q128" s="2">
        <v>0</v>
      </c>
      <c r="R128" s="2">
        <v>0</v>
      </c>
      <c r="S128" s="2">
        <v>1</v>
      </c>
      <c r="T128" s="2">
        <v>0</v>
      </c>
      <c r="U128" s="2">
        <f>'Multiple Regression Outputs'!$B$14+G128*'Multiple Regression Outputs'!$B$15+H128*'Multiple Regression Outputs'!$B$16+I128*'Multiple Regression Outputs'!$B$17+J128*'Multiple Regression Outputs'!$B$18+K128*'Multiple Regression Outputs'!$B$19+L128*'Multiple Regression Outputs'!$B$20+M128*'Multiple Regression Outputs'!$B$21+N128*'Multiple Regression Outputs'!$B$22+O128*'Multiple Regression Outputs'!$B$23+P128*'Multiple Regression Outputs'!$B$24+Q128*'Multiple Regression Outputs'!$B$25+R128*'Multiple Regression Outputs'!$B$26+S128*'Multiple Regression Outputs'!$B$27+T128*'Multiple Regression Outputs'!$B$28</f>
        <v>802864.5577559229</v>
      </c>
      <c r="V128" s="2">
        <f t="shared" si="1"/>
        <v>39293.362244077143</v>
      </c>
    </row>
    <row r="129" spans="1:22" ht="15" customHeight="1">
      <c r="A129" s="2">
        <v>128</v>
      </c>
      <c r="B129" s="2" t="s">
        <v>57</v>
      </c>
      <c r="C129" s="2" t="s">
        <v>20</v>
      </c>
      <c r="D129" s="2" t="s">
        <v>28</v>
      </c>
      <c r="E129" s="2" t="s">
        <v>22</v>
      </c>
      <c r="F129" s="2">
        <v>697155.3</v>
      </c>
      <c r="G129" s="2">
        <v>37828.5</v>
      </c>
      <c r="H129" s="2">
        <v>8221</v>
      </c>
      <c r="I129" s="2">
        <v>9.6000000000000002E-2</v>
      </c>
      <c r="J129" s="2">
        <v>19</v>
      </c>
      <c r="K129" s="2">
        <v>81.5</v>
      </c>
      <c r="L129" s="2">
        <v>3.19</v>
      </c>
      <c r="M129" s="2">
        <v>0</v>
      </c>
      <c r="N129" s="2">
        <v>4.8</v>
      </c>
      <c r="O129" s="2">
        <v>1</v>
      </c>
      <c r="P129" s="2">
        <v>0</v>
      </c>
      <c r="Q129" s="2">
        <v>0</v>
      </c>
      <c r="R129" s="2">
        <v>0</v>
      </c>
      <c r="S129" s="2">
        <v>1</v>
      </c>
      <c r="T129" s="2">
        <v>0</v>
      </c>
      <c r="U129" s="2">
        <f>'Multiple Regression Outputs'!$B$14+G129*'Multiple Regression Outputs'!$B$15+H129*'Multiple Regression Outputs'!$B$16+I129*'Multiple Regression Outputs'!$B$17+J129*'Multiple Regression Outputs'!$B$18+K129*'Multiple Regression Outputs'!$B$19+L129*'Multiple Regression Outputs'!$B$20+M129*'Multiple Regression Outputs'!$B$21+N129*'Multiple Regression Outputs'!$B$22+O129*'Multiple Regression Outputs'!$B$23+P129*'Multiple Regression Outputs'!$B$24+Q129*'Multiple Regression Outputs'!$B$25+R129*'Multiple Regression Outputs'!$B$26+S129*'Multiple Regression Outputs'!$B$27+T129*'Multiple Regression Outputs'!$B$28</f>
        <v>714781.74244052125</v>
      </c>
      <c r="V129" s="2">
        <f t="shared" si="1"/>
        <v>-17626.442440521205</v>
      </c>
    </row>
    <row r="130" spans="1:22" ht="15" customHeight="1">
      <c r="A130" s="2">
        <v>129</v>
      </c>
      <c r="B130" s="2" t="s">
        <v>58</v>
      </c>
      <c r="C130" s="2" t="s">
        <v>15</v>
      </c>
      <c r="D130" s="2" t="s">
        <v>16</v>
      </c>
      <c r="E130" s="2" t="s">
        <v>22</v>
      </c>
      <c r="F130" s="2">
        <v>849018.3</v>
      </c>
      <c r="G130" s="2">
        <v>66250.53</v>
      </c>
      <c r="H130" s="2">
        <v>10618</v>
      </c>
      <c r="I130" s="2">
        <v>0.14199999999999999</v>
      </c>
      <c r="J130" s="2">
        <v>27</v>
      </c>
      <c r="K130" s="2">
        <v>88.3</v>
      </c>
      <c r="L130" s="2">
        <v>1.1000000000000001</v>
      </c>
      <c r="M130" s="2">
        <v>1</v>
      </c>
      <c r="N130" s="2">
        <v>4.4000000000000004</v>
      </c>
      <c r="O130" s="2">
        <v>1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f>'Multiple Regression Outputs'!$B$14+G130*'Multiple Regression Outputs'!$B$15+H130*'Multiple Regression Outputs'!$B$16+I130*'Multiple Regression Outputs'!$B$17+J130*'Multiple Regression Outputs'!$B$18+K130*'Multiple Regression Outputs'!$B$19+L130*'Multiple Regression Outputs'!$B$20+M130*'Multiple Regression Outputs'!$B$21+N130*'Multiple Regression Outputs'!$B$22+O130*'Multiple Regression Outputs'!$B$23+P130*'Multiple Regression Outputs'!$B$24+Q130*'Multiple Regression Outputs'!$B$25+R130*'Multiple Regression Outputs'!$B$26+S130*'Multiple Regression Outputs'!$B$27+T130*'Multiple Regression Outputs'!$B$28</f>
        <v>857937.84631706402</v>
      </c>
      <c r="V130" s="2">
        <f t="shared" ref="V130:V193" si="2">F130-U130</f>
        <v>-8919.5463170639705</v>
      </c>
    </row>
    <row r="131" spans="1:22" ht="15" customHeight="1">
      <c r="A131" s="2">
        <v>130</v>
      </c>
      <c r="B131" s="2" t="s">
        <v>58</v>
      </c>
      <c r="C131" s="2" t="s">
        <v>18</v>
      </c>
      <c r="D131" s="2" t="s">
        <v>16</v>
      </c>
      <c r="E131" s="2" t="s">
        <v>22</v>
      </c>
      <c r="F131" s="2">
        <v>801830.35</v>
      </c>
      <c r="G131" s="2">
        <v>68410.929999999993</v>
      </c>
      <c r="H131" s="2">
        <v>10596</v>
      </c>
      <c r="I131" s="2">
        <v>0.20699999999999999</v>
      </c>
      <c r="J131" s="2">
        <v>25</v>
      </c>
      <c r="K131" s="2">
        <v>81.2</v>
      </c>
      <c r="L131" s="2">
        <v>0.21</v>
      </c>
      <c r="M131" s="2">
        <v>0</v>
      </c>
      <c r="N131" s="2">
        <v>4</v>
      </c>
      <c r="O131" s="2">
        <v>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f>'Multiple Regression Outputs'!$B$14+G131*'Multiple Regression Outputs'!$B$15+H131*'Multiple Regression Outputs'!$B$16+I131*'Multiple Regression Outputs'!$B$17+J131*'Multiple Regression Outputs'!$B$18+K131*'Multiple Regression Outputs'!$B$19+L131*'Multiple Regression Outputs'!$B$20+M131*'Multiple Regression Outputs'!$B$21+N131*'Multiple Regression Outputs'!$B$22+O131*'Multiple Regression Outputs'!$B$23+P131*'Multiple Regression Outputs'!$B$24+Q131*'Multiple Regression Outputs'!$B$25+R131*'Multiple Regression Outputs'!$B$26+S131*'Multiple Regression Outputs'!$B$27+T131*'Multiple Regression Outputs'!$B$28</f>
        <v>811409.9277530266</v>
      </c>
      <c r="V131" s="2">
        <f t="shared" si="2"/>
        <v>-9579.5777530266205</v>
      </c>
    </row>
    <row r="132" spans="1:22" ht="15" customHeight="1">
      <c r="A132" s="2">
        <v>131</v>
      </c>
      <c r="B132" s="2" t="s">
        <v>58</v>
      </c>
      <c r="C132" s="2" t="s">
        <v>19</v>
      </c>
      <c r="D132" s="2" t="s">
        <v>16</v>
      </c>
      <c r="E132" s="2" t="s">
        <v>22</v>
      </c>
      <c r="F132" s="2">
        <v>725235.28</v>
      </c>
      <c r="G132" s="2">
        <v>50735.63</v>
      </c>
      <c r="H132" s="2">
        <v>9619</v>
      </c>
      <c r="I132" s="2">
        <v>0.14399999999999999</v>
      </c>
      <c r="J132" s="2">
        <v>19</v>
      </c>
      <c r="K132" s="2">
        <v>93.8</v>
      </c>
      <c r="L132" s="2">
        <v>5.12</v>
      </c>
      <c r="M132" s="2">
        <v>1</v>
      </c>
      <c r="N132" s="2">
        <v>4.5</v>
      </c>
      <c r="O132" s="2">
        <v>1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f>'Multiple Regression Outputs'!$B$14+G132*'Multiple Regression Outputs'!$B$15+H132*'Multiple Regression Outputs'!$B$16+I132*'Multiple Regression Outputs'!$B$17+J132*'Multiple Regression Outputs'!$B$18+K132*'Multiple Regression Outputs'!$B$19+L132*'Multiple Regression Outputs'!$B$20+M132*'Multiple Regression Outputs'!$B$21+N132*'Multiple Regression Outputs'!$B$22+O132*'Multiple Regression Outputs'!$B$23+P132*'Multiple Regression Outputs'!$B$24+Q132*'Multiple Regression Outputs'!$B$25+R132*'Multiple Regression Outputs'!$B$26+S132*'Multiple Regression Outputs'!$B$27+T132*'Multiple Regression Outputs'!$B$28</f>
        <v>787979.29743119748</v>
      </c>
      <c r="V132" s="2">
        <f t="shared" si="2"/>
        <v>-62744.017431197455</v>
      </c>
    </row>
    <row r="133" spans="1:22" ht="15" customHeight="1">
      <c r="A133" s="2">
        <v>132</v>
      </c>
      <c r="B133" s="2" t="s">
        <v>58</v>
      </c>
      <c r="C133" s="2" t="s">
        <v>20</v>
      </c>
      <c r="D133" s="2" t="s">
        <v>16</v>
      </c>
      <c r="E133" s="2" t="s">
        <v>22</v>
      </c>
      <c r="F133" s="2">
        <v>811452.72</v>
      </c>
      <c r="G133" s="2">
        <v>66455.8</v>
      </c>
      <c r="H133" s="2">
        <v>10836</v>
      </c>
      <c r="I133" s="2">
        <v>8.8999999999999996E-2</v>
      </c>
      <c r="J133" s="2">
        <v>25</v>
      </c>
      <c r="K133" s="2">
        <v>85</v>
      </c>
      <c r="L133" s="2">
        <v>9.77</v>
      </c>
      <c r="M133" s="2">
        <v>0</v>
      </c>
      <c r="N133" s="2">
        <v>4.5</v>
      </c>
      <c r="O133" s="2">
        <v>1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f>'Multiple Regression Outputs'!$B$14+G133*'Multiple Regression Outputs'!$B$15+H133*'Multiple Regression Outputs'!$B$16+I133*'Multiple Regression Outputs'!$B$17+J133*'Multiple Regression Outputs'!$B$18+K133*'Multiple Regression Outputs'!$B$19+L133*'Multiple Regression Outputs'!$B$20+M133*'Multiple Regression Outputs'!$B$21+N133*'Multiple Regression Outputs'!$B$22+O133*'Multiple Regression Outputs'!$B$23+P133*'Multiple Regression Outputs'!$B$24+Q133*'Multiple Regression Outputs'!$B$25+R133*'Multiple Regression Outputs'!$B$26+S133*'Multiple Regression Outputs'!$B$27+T133*'Multiple Regression Outputs'!$B$28</f>
        <v>805494.55669321539</v>
      </c>
      <c r="V133" s="2">
        <f t="shared" si="2"/>
        <v>5958.1633067845833</v>
      </c>
    </row>
    <row r="134" spans="1:22" ht="15" customHeight="1">
      <c r="A134" s="2">
        <v>133</v>
      </c>
      <c r="B134" s="2" t="s">
        <v>59</v>
      </c>
      <c r="C134" s="2" t="s">
        <v>15</v>
      </c>
      <c r="D134" s="2" t="s">
        <v>24</v>
      </c>
      <c r="E134" s="2" t="s">
        <v>22</v>
      </c>
      <c r="F134" s="2">
        <v>527300.13</v>
      </c>
      <c r="G134" s="2">
        <v>70276.28</v>
      </c>
      <c r="H134" s="2">
        <v>3043</v>
      </c>
      <c r="I134" s="2">
        <v>7.9000000000000001E-2</v>
      </c>
      <c r="J134" s="2">
        <v>9</v>
      </c>
      <c r="K134" s="2">
        <v>87.9</v>
      </c>
      <c r="L134" s="2">
        <v>3.77</v>
      </c>
      <c r="M134" s="2">
        <v>0</v>
      </c>
      <c r="N134" s="2">
        <v>4.4000000000000004</v>
      </c>
      <c r="O134" s="2">
        <v>1</v>
      </c>
      <c r="P134" s="2">
        <v>0</v>
      </c>
      <c r="Q134" s="2">
        <v>0</v>
      </c>
      <c r="R134" s="2">
        <v>1</v>
      </c>
      <c r="S134" s="2">
        <v>0</v>
      </c>
      <c r="T134" s="2">
        <v>0</v>
      </c>
      <c r="U134" s="2">
        <f>'Multiple Regression Outputs'!$B$14+G134*'Multiple Regression Outputs'!$B$15+H134*'Multiple Regression Outputs'!$B$16+I134*'Multiple Regression Outputs'!$B$17+J134*'Multiple Regression Outputs'!$B$18+K134*'Multiple Regression Outputs'!$B$19+L134*'Multiple Regression Outputs'!$B$20+M134*'Multiple Regression Outputs'!$B$21+N134*'Multiple Regression Outputs'!$B$22+O134*'Multiple Regression Outputs'!$B$23+P134*'Multiple Regression Outputs'!$B$24+Q134*'Multiple Regression Outputs'!$B$25+R134*'Multiple Regression Outputs'!$B$26+S134*'Multiple Regression Outputs'!$B$27+T134*'Multiple Regression Outputs'!$B$28</f>
        <v>579570.96773600276</v>
      </c>
      <c r="V134" s="2">
        <f t="shared" si="2"/>
        <v>-52270.837736002752</v>
      </c>
    </row>
    <row r="135" spans="1:22" ht="15" customHeight="1">
      <c r="A135" s="2">
        <v>134</v>
      </c>
      <c r="B135" s="2" t="s">
        <v>59</v>
      </c>
      <c r="C135" s="2" t="s">
        <v>18</v>
      </c>
      <c r="D135" s="2" t="s">
        <v>24</v>
      </c>
      <c r="E135" s="2" t="s">
        <v>22</v>
      </c>
      <c r="F135" s="2">
        <v>400831.65</v>
      </c>
      <c r="G135" s="2">
        <v>22071.64</v>
      </c>
      <c r="H135" s="2">
        <v>1814</v>
      </c>
      <c r="I135" s="2">
        <v>0.19600000000000001</v>
      </c>
      <c r="J135" s="2">
        <v>8</v>
      </c>
      <c r="K135" s="2">
        <v>81.099999999999994</v>
      </c>
      <c r="L135" s="2">
        <v>0.78</v>
      </c>
      <c r="M135" s="2">
        <v>0</v>
      </c>
      <c r="N135" s="2">
        <v>3.9</v>
      </c>
      <c r="O135" s="2">
        <v>1</v>
      </c>
      <c r="P135" s="2">
        <v>0</v>
      </c>
      <c r="Q135" s="2">
        <v>0</v>
      </c>
      <c r="R135" s="2">
        <v>1</v>
      </c>
      <c r="S135" s="2">
        <v>0</v>
      </c>
      <c r="T135" s="2">
        <v>0</v>
      </c>
      <c r="U135" s="2">
        <f>'Multiple Regression Outputs'!$B$14+G135*'Multiple Regression Outputs'!$B$15+H135*'Multiple Regression Outputs'!$B$16+I135*'Multiple Regression Outputs'!$B$17+J135*'Multiple Regression Outputs'!$B$18+K135*'Multiple Regression Outputs'!$B$19+L135*'Multiple Regression Outputs'!$B$20+M135*'Multiple Regression Outputs'!$B$21+N135*'Multiple Regression Outputs'!$B$22+O135*'Multiple Regression Outputs'!$B$23+P135*'Multiple Regression Outputs'!$B$24+Q135*'Multiple Regression Outputs'!$B$25+R135*'Multiple Regression Outputs'!$B$26+S135*'Multiple Regression Outputs'!$B$27+T135*'Multiple Regression Outputs'!$B$28</f>
        <v>462518.95140279387</v>
      </c>
      <c r="V135" s="2">
        <f t="shared" si="2"/>
        <v>-61687.301402793848</v>
      </c>
    </row>
    <row r="136" spans="1:22" ht="15" customHeight="1">
      <c r="A136" s="2">
        <v>135</v>
      </c>
      <c r="B136" s="2" t="s">
        <v>59</v>
      </c>
      <c r="C136" s="2" t="s">
        <v>19</v>
      </c>
      <c r="D136" s="2" t="s">
        <v>24</v>
      </c>
      <c r="E136" s="2" t="s">
        <v>22</v>
      </c>
      <c r="F136" s="2">
        <v>593247.25</v>
      </c>
      <c r="G136" s="2">
        <v>52285.45</v>
      </c>
      <c r="H136" s="2">
        <v>3618</v>
      </c>
      <c r="I136" s="2">
        <v>8.5999999999999993E-2</v>
      </c>
      <c r="J136" s="2">
        <v>11</v>
      </c>
      <c r="K136" s="2">
        <v>95.6</v>
      </c>
      <c r="L136" s="2">
        <v>5.17</v>
      </c>
      <c r="M136" s="2">
        <v>1</v>
      </c>
      <c r="N136" s="2">
        <v>4.4000000000000004</v>
      </c>
      <c r="O136" s="2">
        <v>1</v>
      </c>
      <c r="P136" s="2">
        <v>0</v>
      </c>
      <c r="Q136" s="2">
        <v>0</v>
      </c>
      <c r="R136" s="2">
        <v>1</v>
      </c>
      <c r="S136" s="2">
        <v>0</v>
      </c>
      <c r="T136" s="2">
        <v>0</v>
      </c>
      <c r="U136" s="2">
        <f>'Multiple Regression Outputs'!$B$14+G136*'Multiple Regression Outputs'!$B$15+H136*'Multiple Regression Outputs'!$B$16+I136*'Multiple Regression Outputs'!$B$17+J136*'Multiple Regression Outputs'!$B$18+K136*'Multiple Regression Outputs'!$B$19+L136*'Multiple Regression Outputs'!$B$20+M136*'Multiple Regression Outputs'!$B$21+N136*'Multiple Regression Outputs'!$B$22+O136*'Multiple Regression Outputs'!$B$23+P136*'Multiple Regression Outputs'!$B$24+Q136*'Multiple Regression Outputs'!$B$25+R136*'Multiple Regression Outputs'!$B$26+S136*'Multiple Regression Outputs'!$B$27+T136*'Multiple Regression Outputs'!$B$28</f>
        <v>614172.71363324719</v>
      </c>
      <c r="V136" s="2">
        <f t="shared" si="2"/>
        <v>-20925.463633247185</v>
      </c>
    </row>
    <row r="137" spans="1:22" ht="15" customHeight="1">
      <c r="A137" s="2">
        <v>136</v>
      </c>
      <c r="B137" s="2" t="s">
        <v>59</v>
      </c>
      <c r="C137" s="2" t="s">
        <v>20</v>
      </c>
      <c r="D137" s="2" t="s">
        <v>24</v>
      </c>
      <c r="E137" s="2" t="s">
        <v>22</v>
      </c>
      <c r="F137" s="2">
        <v>529075.94999999995</v>
      </c>
      <c r="G137" s="2">
        <v>70366.759999999995</v>
      </c>
      <c r="H137" s="2">
        <v>1963</v>
      </c>
      <c r="I137" s="2">
        <v>0.182</v>
      </c>
      <c r="J137" s="2">
        <v>8</v>
      </c>
      <c r="K137" s="2">
        <v>89.8</v>
      </c>
      <c r="L137" s="2">
        <v>3.2</v>
      </c>
      <c r="M137" s="2">
        <v>0</v>
      </c>
      <c r="N137" s="2">
        <v>4.5999999999999996</v>
      </c>
      <c r="O137" s="2">
        <v>1</v>
      </c>
      <c r="P137" s="2">
        <v>0</v>
      </c>
      <c r="Q137" s="2">
        <v>0</v>
      </c>
      <c r="R137" s="2">
        <v>1</v>
      </c>
      <c r="S137" s="2">
        <v>0</v>
      </c>
      <c r="T137" s="2">
        <v>0</v>
      </c>
      <c r="U137" s="2">
        <f>'Multiple Regression Outputs'!$B$14+G137*'Multiple Regression Outputs'!$B$15+H137*'Multiple Regression Outputs'!$B$16+I137*'Multiple Regression Outputs'!$B$17+J137*'Multiple Regression Outputs'!$B$18+K137*'Multiple Regression Outputs'!$B$19+L137*'Multiple Regression Outputs'!$B$20+M137*'Multiple Regression Outputs'!$B$21+N137*'Multiple Regression Outputs'!$B$22+O137*'Multiple Regression Outputs'!$B$23+P137*'Multiple Regression Outputs'!$B$24+Q137*'Multiple Regression Outputs'!$B$25+R137*'Multiple Regression Outputs'!$B$26+S137*'Multiple Regression Outputs'!$B$27+T137*'Multiple Regression Outputs'!$B$28</f>
        <v>552680.72148428694</v>
      </c>
      <c r="V137" s="2">
        <f t="shared" si="2"/>
        <v>-23604.77148428699</v>
      </c>
    </row>
    <row r="138" spans="1:22" ht="15" customHeight="1">
      <c r="A138" s="2">
        <v>137</v>
      </c>
      <c r="B138" s="2" t="s">
        <v>60</v>
      </c>
      <c r="C138" s="2" t="s">
        <v>15</v>
      </c>
      <c r="D138" s="2" t="s">
        <v>28</v>
      </c>
      <c r="E138" s="2" t="s">
        <v>17</v>
      </c>
      <c r="F138" s="2">
        <v>633638.03</v>
      </c>
      <c r="G138" s="2">
        <v>71320.66</v>
      </c>
      <c r="H138" s="2">
        <v>7888</v>
      </c>
      <c r="I138" s="2">
        <v>4.8000000000000001E-2</v>
      </c>
      <c r="J138" s="2">
        <v>20</v>
      </c>
      <c r="K138" s="2">
        <v>78.099999999999994</v>
      </c>
      <c r="L138" s="2">
        <v>3.4</v>
      </c>
      <c r="M138" s="2">
        <v>0</v>
      </c>
      <c r="N138" s="2">
        <v>3.9</v>
      </c>
      <c r="O138" s="2">
        <v>0</v>
      </c>
      <c r="P138" s="2">
        <v>0</v>
      </c>
      <c r="Q138" s="2">
        <v>1</v>
      </c>
      <c r="R138" s="2">
        <v>0</v>
      </c>
      <c r="S138" s="2">
        <v>1</v>
      </c>
      <c r="T138" s="2">
        <v>0</v>
      </c>
      <c r="U138" s="2">
        <f>'Multiple Regression Outputs'!$B$14+G138*'Multiple Regression Outputs'!$B$15+H138*'Multiple Regression Outputs'!$B$16+I138*'Multiple Regression Outputs'!$B$17+J138*'Multiple Regression Outputs'!$B$18+K138*'Multiple Regression Outputs'!$B$19+L138*'Multiple Regression Outputs'!$B$20+M138*'Multiple Regression Outputs'!$B$21+N138*'Multiple Regression Outputs'!$B$22+O138*'Multiple Regression Outputs'!$B$23+P138*'Multiple Regression Outputs'!$B$24+Q138*'Multiple Regression Outputs'!$B$25+R138*'Multiple Regression Outputs'!$B$26+S138*'Multiple Regression Outputs'!$B$27+T138*'Multiple Regression Outputs'!$B$28</f>
        <v>709078.68663851905</v>
      </c>
      <c r="V138" s="2">
        <f t="shared" si="2"/>
        <v>-75440.656638519024</v>
      </c>
    </row>
    <row r="139" spans="1:22" ht="15" customHeight="1">
      <c r="A139" s="2">
        <v>138</v>
      </c>
      <c r="B139" s="2" t="s">
        <v>60</v>
      </c>
      <c r="C139" s="2" t="s">
        <v>18</v>
      </c>
      <c r="D139" s="2" t="s">
        <v>28</v>
      </c>
      <c r="E139" s="2" t="s">
        <v>17</v>
      </c>
      <c r="F139" s="2">
        <v>743348.84</v>
      </c>
      <c r="G139" s="2">
        <v>75109.67</v>
      </c>
      <c r="H139" s="2">
        <v>6244</v>
      </c>
      <c r="I139" s="2">
        <v>7.9000000000000001E-2</v>
      </c>
      <c r="J139" s="2">
        <v>15</v>
      </c>
      <c r="K139" s="2">
        <v>96.3</v>
      </c>
      <c r="L139" s="2">
        <v>7.38</v>
      </c>
      <c r="M139" s="2">
        <v>0</v>
      </c>
      <c r="N139" s="2">
        <v>3.7</v>
      </c>
      <c r="O139" s="2">
        <v>0</v>
      </c>
      <c r="P139" s="2">
        <v>0</v>
      </c>
      <c r="Q139" s="2">
        <v>1</v>
      </c>
      <c r="R139" s="2">
        <v>0</v>
      </c>
      <c r="S139" s="2">
        <v>1</v>
      </c>
      <c r="T139" s="2">
        <v>0</v>
      </c>
      <c r="U139" s="2">
        <f>'Multiple Regression Outputs'!$B$14+G139*'Multiple Regression Outputs'!$B$15+H139*'Multiple Regression Outputs'!$B$16+I139*'Multiple Regression Outputs'!$B$17+J139*'Multiple Regression Outputs'!$B$18+K139*'Multiple Regression Outputs'!$B$19+L139*'Multiple Regression Outputs'!$B$20+M139*'Multiple Regression Outputs'!$B$21+N139*'Multiple Regression Outputs'!$B$22+O139*'Multiple Regression Outputs'!$B$23+P139*'Multiple Regression Outputs'!$B$24+Q139*'Multiple Regression Outputs'!$B$25+R139*'Multiple Regression Outputs'!$B$26+S139*'Multiple Regression Outputs'!$B$27+T139*'Multiple Regression Outputs'!$B$28</f>
        <v>689448.54553858563</v>
      </c>
      <c r="V139" s="2">
        <f t="shared" si="2"/>
        <v>53900.294461414334</v>
      </c>
    </row>
    <row r="140" spans="1:22" ht="15" customHeight="1">
      <c r="A140" s="2">
        <v>139</v>
      </c>
      <c r="B140" s="2" t="s">
        <v>60</v>
      </c>
      <c r="C140" s="2" t="s">
        <v>19</v>
      </c>
      <c r="D140" s="2" t="s">
        <v>28</v>
      </c>
      <c r="E140" s="2" t="s">
        <v>17</v>
      </c>
      <c r="F140" s="2">
        <v>758827.64</v>
      </c>
      <c r="G140" s="2">
        <v>69779</v>
      </c>
      <c r="H140" s="2">
        <v>6544</v>
      </c>
      <c r="I140" s="2">
        <v>0.152</v>
      </c>
      <c r="J140" s="2">
        <v>18</v>
      </c>
      <c r="K140" s="2">
        <v>90.2</v>
      </c>
      <c r="L140" s="2">
        <v>0.85</v>
      </c>
      <c r="M140" s="2">
        <v>1</v>
      </c>
      <c r="N140" s="2">
        <v>3.3</v>
      </c>
      <c r="O140" s="2">
        <v>0</v>
      </c>
      <c r="P140" s="2">
        <v>0</v>
      </c>
      <c r="Q140" s="2">
        <v>1</v>
      </c>
      <c r="R140" s="2">
        <v>0</v>
      </c>
      <c r="S140" s="2">
        <v>1</v>
      </c>
      <c r="T140" s="2">
        <v>0</v>
      </c>
      <c r="U140" s="2">
        <f>'Multiple Regression Outputs'!$B$14+G140*'Multiple Regression Outputs'!$B$15+H140*'Multiple Regression Outputs'!$B$16+I140*'Multiple Regression Outputs'!$B$17+J140*'Multiple Regression Outputs'!$B$18+K140*'Multiple Regression Outputs'!$B$19+L140*'Multiple Regression Outputs'!$B$20+M140*'Multiple Regression Outputs'!$B$21+N140*'Multiple Regression Outputs'!$B$22+O140*'Multiple Regression Outputs'!$B$23+P140*'Multiple Regression Outputs'!$B$24+Q140*'Multiple Regression Outputs'!$B$25+R140*'Multiple Regression Outputs'!$B$26+S140*'Multiple Regression Outputs'!$B$27+T140*'Multiple Regression Outputs'!$B$28</f>
        <v>712638.98676670704</v>
      </c>
      <c r="V140" s="2">
        <f t="shared" si="2"/>
        <v>46188.653233292978</v>
      </c>
    </row>
    <row r="141" spans="1:22" ht="15" customHeight="1">
      <c r="A141" s="2">
        <v>140</v>
      </c>
      <c r="B141" s="2" t="s">
        <v>60</v>
      </c>
      <c r="C141" s="2" t="s">
        <v>20</v>
      </c>
      <c r="D141" s="2" t="s">
        <v>28</v>
      </c>
      <c r="E141" s="2" t="s">
        <v>17</v>
      </c>
      <c r="F141" s="2">
        <v>646559.71</v>
      </c>
      <c r="G141" s="2">
        <v>44211.95</v>
      </c>
      <c r="H141" s="2">
        <v>5465</v>
      </c>
      <c r="I141" s="2">
        <v>0.187</v>
      </c>
      <c r="J141" s="2">
        <v>12</v>
      </c>
      <c r="K141" s="2">
        <v>90</v>
      </c>
      <c r="L141" s="2">
        <v>2.89</v>
      </c>
      <c r="M141" s="2">
        <v>0</v>
      </c>
      <c r="N141" s="2">
        <v>3.6</v>
      </c>
      <c r="O141" s="2">
        <v>0</v>
      </c>
      <c r="P141" s="2">
        <v>0</v>
      </c>
      <c r="Q141" s="2">
        <v>1</v>
      </c>
      <c r="R141" s="2">
        <v>0</v>
      </c>
      <c r="S141" s="2">
        <v>1</v>
      </c>
      <c r="T141" s="2">
        <v>0</v>
      </c>
      <c r="U141" s="2">
        <f>'Multiple Regression Outputs'!$B$14+G141*'Multiple Regression Outputs'!$B$15+H141*'Multiple Regression Outputs'!$B$16+I141*'Multiple Regression Outputs'!$B$17+J141*'Multiple Regression Outputs'!$B$18+K141*'Multiple Regression Outputs'!$B$19+L141*'Multiple Regression Outputs'!$B$20+M141*'Multiple Regression Outputs'!$B$21+N141*'Multiple Regression Outputs'!$B$22+O141*'Multiple Regression Outputs'!$B$23+P141*'Multiple Regression Outputs'!$B$24+Q141*'Multiple Regression Outputs'!$B$25+R141*'Multiple Regression Outputs'!$B$26+S141*'Multiple Regression Outputs'!$B$27+T141*'Multiple Regression Outputs'!$B$28</f>
        <v>610684.39403344376</v>
      </c>
      <c r="V141" s="2">
        <f t="shared" si="2"/>
        <v>35875.315966556198</v>
      </c>
    </row>
    <row r="142" spans="1:22" ht="15" customHeight="1">
      <c r="A142" s="2">
        <v>141</v>
      </c>
      <c r="B142" s="2" t="s">
        <v>61</v>
      </c>
      <c r="C142" s="2" t="s">
        <v>15</v>
      </c>
      <c r="D142" s="2" t="s">
        <v>31</v>
      </c>
      <c r="E142" s="2" t="s">
        <v>22</v>
      </c>
      <c r="F142" s="2">
        <v>715890.53</v>
      </c>
      <c r="G142" s="2">
        <v>51430.31</v>
      </c>
      <c r="H142" s="2">
        <v>6427</v>
      </c>
      <c r="I142" s="2">
        <v>0.23400000000000001</v>
      </c>
      <c r="J142" s="2">
        <v>14</v>
      </c>
      <c r="K142" s="2">
        <v>88.8</v>
      </c>
      <c r="L142" s="2">
        <v>0.77</v>
      </c>
      <c r="M142" s="2">
        <v>0</v>
      </c>
      <c r="N142" s="2">
        <v>4.0999999999999996</v>
      </c>
      <c r="O142" s="2">
        <v>1</v>
      </c>
      <c r="P142" s="2">
        <v>0</v>
      </c>
      <c r="Q142" s="2">
        <v>0</v>
      </c>
      <c r="R142" s="2">
        <v>0</v>
      </c>
      <c r="S142" s="2">
        <v>0</v>
      </c>
      <c r="T142" s="2">
        <v>1</v>
      </c>
      <c r="U142" s="2">
        <f>'Multiple Regression Outputs'!$B$14+G142*'Multiple Regression Outputs'!$B$15+H142*'Multiple Regression Outputs'!$B$16+I142*'Multiple Regression Outputs'!$B$17+J142*'Multiple Regression Outputs'!$B$18+K142*'Multiple Regression Outputs'!$B$19+L142*'Multiple Regression Outputs'!$B$20+M142*'Multiple Regression Outputs'!$B$21+N142*'Multiple Regression Outputs'!$B$22+O142*'Multiple Regression Outputs'!$B$23+P142*'Multiple Regression Outputs'!$B$24+Q142*'Multiple Regression Outputs'!$B$25+R142*'Multiple Regression Outputs'!$B$26+S142*'Multiple Regression Outputs'!$B$27+T142*'Multiple Regression Outputs'!$B$28</f>
        <v>685083.86257874884</v>
      </c>
      <c r="V142" s="2">
        <f t="shared" si="2"/>
        <v>30806.667421251186</v>
      </c>
    </row>
    <row r="143" spans="1:22" ht="15" customHeight="1">
      <c r="A143" s="2">
        <v>142</v>
      </c>
      <c r="B143" s="2" t="s">
        <v>61</v>
      </c>
      <c r="C143" s="2" t="s">
        <v>18</v>
      </c>
      <c r="D143" s="2" t="s">
        <v>31</v>
      </c>
      <c r="E143" s="2" t="s">
        <v>22</v>
      </c>
      <c r="F143" s="2">
        <v>715097.57</v>
      </c>
      <c r="G143" s="2">
        <v>45706.49</v>
      </c>
      <c r="H143" s="2">
        <v>6704</v>
      </c>
      <c r="I143" s="2">
        <v>3.7999999999999999E-2</v>
      </c>
      <c r="J143" s="2">
        <v>15</v>
      </c>
      <c r="K143" s="2">
        <v>94.2</v>
      </c>
      <c r="L143" s="2">
        <v>2.92</v>
      </c>
      <c r="M143" s="2">
        <v>0</v>
      </c>
      <c r="N143" s="2">
        <v>4.2</v>
      </c>
      <c r="O143" s="2">
        <v>1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f>'Multiple Regression Outputs'!$B$14+G143*'Multiple Regression Outputs'!$B$15+H143*'Multiple Regression Outputs'!$B$16+I143*'Multiple Regression Outputs'!$B$17+J143*'Multiple Regression Outputs'!$B$18+K143*'Multiple Regression Outputs'!$B$19+L143*'Multiple Regression Outputs'!$B$20+M143*'Multiple Regression Outputs'!$B$21+N143*'Multiple Regression Outputs'!$B$22+O143*'Multiple Regression Outputs'!$B$23+P143*'Multiple Regression Outputs'!$B$24+Q143*'Multiple Regression Outputs'!$B$25+R143*'Multiple Regression Outputs'!$B$26+S143*'Multiple Regression Outputs'!$B$27+T143*'Multiple Regression Outputs'!$B$28</f>
        <v>707717.58164123516</v>
      </c>
      <c r="V143" s="2">
        <f t="shared" si="2"/>
        <v>7379.9883587647928</v>
      </c>
    </row>
    <row r="144" spans="1:22" ht="15" customHeight="1">
      <c r="A144" s="2">
        <v>143</v>
      </c>
      <c r="B144" s="2" t="s">
        <v>61</v>
      </c>
      <c r="C144" s="2" t="s">
        <v>19</v>
      </c>
      <c r="D144" s="2" t="s">
        <v>31</v>
      </c>
      <c r="E144" s="2" t="s">
        <v>22</v>
      </c>
      <c r="F144" s="2">
        <v>682639.28</v>
      </c>
      <c r="G144" s="2">
        <v>44034.6</v>
      </c>
      <c r="H144" s="2">
        <v>5645</v>
      </c>
      <c r="I144" s="2">
        <v>6.9000000000000006E-2</v>
      </c>
      <c r="J144" s="2">
        <v>18</v>
      </c>
      <c r="K144" s="2">
        <v>88.5</v>
      </c>
      <c r="L144" s="2">
        <v>3.07</v>
      </c>
      <c r="M144" s="2">
        <v>0</v>
      </c>
      <c r="N144" s="2">
        <v>3.8</v>
      </c>
      <c r="O144" s="2">
        <v>1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f>'Multiple Regression Outputs'!$B$14+G144*'Multiple Regression Outputs'!$B$15+H144*'Multiple Regression Outputs'!$B$16+I144*'Multiple Regression Outputs'!$B$17+J144*'Multiple Regression Outputs'!$B$18+K144*'Multiple Regression Outputs'!$B$19+L144*'Multiple Regression Outputs'!$B$20+M144*'Multiple Regression Outputs'!$B$21+N144*'Multiple Regression Outputs'!$B$22+O144*'Multiple Regression Outputs'!$B$23+P144*'Multiple Regression Outputs'!$B$24+Q144*'Multiple Regression Outputs'!$B$25+R144*'Multiple Regression Outputs'!$B$26+S144*'Multiple Regression Outputs'!$B$27+T144*'Multiple Regression Outputs'!$B$28</f>
        <v>663018.24452501233</v>
      </c>
      <c r="V144" s="2">
        <f t="shared" si="2"/>
        <v>19621.035474987701</v>
      </c>
    </row>
    <row r="145" spans="1:22" ht="15" customHeight="1">
      <c r="A145" s="2">
        <v>144</v>
      </c>
      <c r="B145" s="2" t="s">
        <v>61</v>
      </c>
      <c r="C145" s="2" t="s">
        <v>20</v>
      </c>
      <c r="D145" s="2" t="s">
        <v>31</v>
      </c>
      <c r="E145" s="2" t="s">
        <v>22</v>
      </c>
      <c r="F145" s="2">
        <v>695098.51</v>
      </c>
      <c r="G145" s="2">
        <v>50198.12</v>
      </c>
      <c r="H145" s="2">
        <v>6089</v>
      </c>
      <c r="I145" s="2">
        <v>0.182</v>
      </c>
      <c r="J145" s="2">
        <v>19</v>
      </c>
      <c r="K145" s="2">
        <v>94</v>
      </c>
      <c r="L145" s="2">
        <v>9.6999999999999993</v>
      </c>
      <c r="M145" s="2">
        <v>0</v>
      </c>
      <c r="N145" s="2">
        <v>3.9</v>
      </c>
      <c r="O145" s="2">
        <v>1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f>'Multiple Regression Outputs'!$B$14+G145*'Multiple Regression Outputs'!$B$15+H145*'Multiple Regression Outputs'!$B$16+I145*'Multiple Regression Outputs'!$B$17+J145*'Multiple Regression Outputs'!$B$18+K145*'Multiple Regression Outputs'!$B$19+L145*'Multiple Regression Outputs'!$B$20+M145*'Multiple Regression Outputs'!$B$21+N145*'Multiple Regression Outputs'!$B$22+O145*'Multiple Regression Outputs'!$B$23+P145*'Multiple Regression Outputs'!$B$24+Q145*'Multiple Regression Outputs'!$B$25+R145*'Multiple Regression Outputs'!$B$26+S145*'Multiple Regression Outputs'!$B$27+T145*'Multiple Regression Outputs'!$B$28</f>
        <v>676759.3040828614</v>
      </c>
      <c r="V145" s="2">
        <f t="shared" si="2"/>
        <v>18339.205917138606</v>
      </c>
    </row>
    <row r="146" spans="1:22" ht="15" customHeight="1">
      <c r="A146" s="2">
        <v>145</v>
      </c>
      <c r="B146" s="2" t="s">
        <v>62</v>
      </c>
      <c r="C146" s="2" t="s">
        <v>15</v>
      </c>
      <c r="D146" s="2" t="s">
        <v>24</v>
      </c>
      <c r="E146" s="2" t="s">
        <v>17</v>
      </c>
      <c r="F146" s="2">
        <v>577732.56999999995</v>
      </c>
      <c r="G146" s="2">
        <v>70488.2</v>
      </c>
      <c r="H146" s="2">
        <v>4312</v>
      </c>
      <c r="I146" s="2">
        <v>0.16900000000000001</v>
      </c>
      <c r="J146" s="2">
        <v>12</v>
      </c>
      <c r="K146" s="2">
        <v>90.2</v>
      </c>
      <c r="L146" s="2">
        <v>3.71</v>
      </c>
      <c r="M146" s="2">
        <v>0</v>
      </c>
      <c r="N146" s="2">
        <v>3.2</v>
      </c>
      <c r="O146" s="2">
        <v>0</v>
      </c>
      <c r="P146" s="2">
        <v>0</v>
      </c>
      <c r="Q146" s="2">
        <v>1</v>
      </c>
      <c r="R146" s="2">
        <v>1</v>
      </c>
      <c r="S146" s="2">
        <v>0</v>
      </c>
      <c r="T146" s="2">
        <v>0</v>
      </c>
      <c r="U146" s="2">
        <f>'Multiple Regression Outputs'!$B$14+G146*'Multiple Regression Outputs'!$B$15+H146*'Multiple Regression Outputs'!$B$16+I146*'Multiple Regression Outputs'!$B$17+J146*'Multiple Regression Outputs'!$B$18+K146*'Multiple Regression Outputs'!$B$19+L146*'Multiple Regression Outputs'!$B$20+M146*'Multiple Regression Outputs'!$B$21+N146*'Multiple Regression Outputs'!$B$22+O146*'Multiple Regression Outputs'!$B$23+P146*'Multiple Regression Outputs'!$B$24+Q146*'Multiple Regression Outputs'!$B$25+R146*'Multiple Regression Outputs'!$B$26+S146*'Multiple Regression Outputs'!$B$27+T146*'Multiple Regression Outputs'!$B$28</f>
        <v>593349.07858927525</v>
      </c>
      <c r="V146" s="2">
        <f t="shared" si="2"/>
        <v>-15616.508589275298</v>
      </c>
    </row>
    <row r="147" spans="1:22" ht="15" customHeight="1">
      <c r="A147" s="2">
        <v>146</v>
      </c>
      <c r="B147" s="2" t="s">
        <v>62</v>
      </c>
      <c r="C147" s="2" t="s">
        <v>18</v>
      </c>
      <c r="D147" s="2" t="s">
        <v>24</v>
      </c>
      <c r="E147" s="2" t="s">
        <v>17</v>
      </c>
      <c r="F147" s="2">
        <v>537058.32999999996</v>
      </c>
      <c r="G147" s="2">
        <v>50909.27</v>
      </c>
      <c r="H147" s="2">
        <v>3152</v>
      </c>
      <c r="I147" s="2">
        <v>0.06</v>
      </c>
      <c r="J147" s="2">
        <v>13</v>
      </c>
      <c r="K147" s="2">
        <v>93.7</v>
      </c>
      <c r="L147" s="2">
        <v>10.79</v>
      </c>
      <c r="M147" s="2">
        <v>0</v>
      </c>
      <c r="N147" s="2">
        <v>3.5</v>
      </c>
      <c r="O147" s="2">
        <v>0</v>
      </c>
      <c r="P147" s="2">
        <v>0</v>
      </c>
      <c r="Q147" s="2">
        <v>1</v>
      </c>
      <c r="R147" s="2">
        <v>1</v>
      </c>
      <c r="S147" s="2">
        <v>0</v>
      </c>
      <c r="T147" s="2">
        <v>0</v>
      </c>
      <c r="U147" s="2">
        <f>'Multiple Regression Outputs'!$B$14+G147*'Multiple Regression Outputs'!$B$15+H147*'Multiple Regression Outputs'!$B$16+I147*'Multiple Regression Outputs'!$B$17+J147*'Multiple Regression Outputs'!$B$18+K147*'Multiple Regression Outputs'!$B$19+L147*'Multiple Regression Outputs'!$B$20+M147*'Multiple Regression Outputs'!$B$21+N147*'Multiple Regression Outputs'!$B$22+O147*'Multiple Regression Outputs'!$B$23+P147*'Multiple Regression Outputs'!$B$24+Q147*'Multiple Regression Outputs'!$B$25+R147*'Multiple Regression Outputs'!$B$26+S147*'Multiple Regression Outputs'!$B$27+T147*'Multiple Regression Outputs'!$B$28</f>
        <v>536082.66012406524</v>
      </c>
      <c r="V147" s="2">
        <f t="shared" si="2"/>
        <v>975.66987593472004</v>
      </c>
    </row>
    <row r="148" spans="1:22" ht="15" customHeight="1">
      <c r="A148" s="2">
        <v>147</v>
      </c>
      <c r="B148" s="2" t="s">
        <v>62</v>
      </c>
      <c r="C148" s="2" t="s">
        <v>19</v>
      </c>
      <c r="D148" s="2" t="s">
        <v>24</v>
      </c>
      <c r="E148" s="2" t="s">
        <v>17</v>
      </c>
      <c r="F148" s="2">
        <v>601568.87</v>
      </c>
      <c r="G148" s="2">
        <v>53351.7</v>
      </c>
      <c r="H148" s="2">
        <v>4259</v>
      </c>
      <c r="I148" s="2">
        <v>0.156</v>
      </c>
      <c r="J148" s="2">
        <v>15</v>
      </c>
      <c r="K148" s="2">
        <v>93.7</v>
      </c>
      <c r="L148" s="2">
        <v>6.03</v>
      </c>
      <c r="M148" s="2">
        <v>0</v>
      </c>
      <c r="N148" s="2">
        <v>3.4</v>
      </c>
      <c r="O148" s="2">
        <v>0</v>
      </c>
      <c r="P148" s="2">
        <v>0</v>
      </c>
      <c r="Q148" s="2">
        <v>1</v>
      </c>
      <c r="R148" s="2">
        <v>1</v>
      </c>
      <c r="S148" s="2">
        <v>0</v>
      </c>
      <c r="T148" s="2">
        <v>0</v>
      </c>
      <c r="U148" s="2">
        <f>'Multiple Regression Outputs'!$B$14+G148*'Multiple Regression Outputs'!$B$15+H148*'Multiple Regression Outputs'!$B$16+I148*'Multiple Regression Outputs'!$B$17+J148*'Multiple Regression Outputs'!$B$18+K148*'Multiple Regression Outputs'!$B$19+L148*'Multiple Regression Outputs'!$B$20+M148*'Multiple Regression Outputs'!$B$21+N148*'Multiple Regression Outputs'!$B$22+O148*'Multiple Regression Outputs'!$B$23+P148*'Multiple Regression Outputs'!$B$24+Q148*'Multiple Regression Outputs'!$B$25+R148*'Multiple Regression Outputs'!$B$26+S148*'Multiple Regression Outputs'!$B$27+T148*'Multiple Regression Outputs'!$B$28</f>
        <v>587470.89699329145</v>
      </c>
      <c r="V148" s="2">
        <f t="shared" si="2"/>
        <v>14097.973006708547</v>
      </c>
    </row>
    <row r="149" spans="1:22" ht="15" customHeight="1">
      <c r="A149" s="2">
        <v>148</v>
      </c>
      <c r="B149" s="2" t="s">
        <v>62</v>
      </c>
      <c r="C149" s="2" t="s">
        <v>20</v>
      </c>
      <c r="D149" s="2" t="s">
        <v>24</v>
      </c>
      <c r="E149" s="2" t="s">
        <v>17</v>
      </c>
      <c r="F149" s="2">
        <v>570964.84</v>
      </c>
      <c r="G149" s="2">
        <v>60322.400000000001</v>
      </c>
      <c r="H149" s="2">
        <v>3350</v>
      </c>
      <c r="I149" s="2">
        <v>0.108</v>
      </c>
      <c r="J149" s="2">
        <v>12</v>
      </c>
      <c r="K149" s="2">
        <v>89.4</v>
      </c>
      <c r="L149" s="2">
        <v>4.92</v>
      </c>
      <c r="M149" s="2">
        <v>0</v>
      </c>
      <c r="N149" s="2">
        <v>3.4</v>
      </c>
      <c r="O149" s="2">
        <v>0</v>
      </c>
      <c r="P149" s="2">
        <v>0</v>
      </c>
      <c r="Q149" s="2">
        <v>1</v>
      </c>
      <c r="R149" s="2">
        <v>1</v>
      </c>
      <c r="S149" s="2">
        <v>0</v>
      </c>
      <c r="T149" s="2">
        <v>0</v>
      </c>
      <c r="U149" s="2">
        <f>'Multiple Regression Outputs'!$B$14+G149*'Multiple Regression Outputs'!$B$15+H149*'Multiple Regression Outputs'!$B$16+I149*'Multiple Regression Outputs'!$B$17+J149*'Multiple Regression Outputs'!$B$18+K149*'Multiple Regression Outputs'!$B$19+L149*'Multiple Regression Outputs'!$B$20+M149*'Multiple Regression Outputs'!$B$21+N149*'Multiple Regression Outputs'!$B$22+O149*'Multiple Regression Outputs'!$B$23+P149*'Multiple Regression Outputs'!$B$24+Q149*'Multiple Regression Outputs'!$B$25+R149*'Multiple Regression Outputs'!$B$26+S149*'Multiple Regression Outputs'!$B$27+T149*'Multiple Regression Outputs'!$B$28</f>
        <v>553159.61365212116</v>
      </c>
      <c r="V149" s="2">
        <f t="shared" si="2"/>
        <v>17805.226347878808</v>
      </c>
    </row>
    <row r="150" spans="1:22" ht="15" customHeight="1">
      <c r="A150" s="2">
        <v>149</v>
      </c>
      <c r="B150" s="2" t="s">
        <v>63</v>
      </c>
      <c r="C150" s="2" t="s">
        <v>15</v>
      </c>
      <c r="D150" s="2" t="s">
        <v>28</v>
      </c>
      <c r="E150" s="2" t="s">
        <v>32</v>
      </c>
      <c r="F150" s="2">
        <v>614024.91</v>
      </c>
      <c r="G150" s="2">
        <v>51575.68</v>
      </c>
      <c r="H150" s="2">
        <v>5329</v>
      </c>
      <c r="I150" s="2">
        <v>4.7E-2</v>
      </c>
      <c r="J150" s="2">
        <v>17</v>
      </c>
      <c r="K150" s="2">
        <v>88.1</v>
      </c>
      <c r="L150" s="2">
        <v>19.78</v>
      </c>
      <c r="M150" s="2">
        <v>0</v>
      </c>
      <c r="N150" s="2">
        <v>3.8</v>
      </c>
      <c r="O150" s="2">
        <v>0</v>
      </c>
      <c r="P150" s="2">
        <v>1</v>
      </c>
      <c r="Q150" s="2">
        <v>0</v>
      </c>
      <c r="R150" s="2">
        <v>0</v>
      </c>
      <c r="S150" s="2">
        <v>1</v>
      </c>
      <c r="T150" s="2">
        <v>0</v>
      </c>
      <c r="U150" s="2">
        <f>'Multiple Regression Outputs'!$B$14+G150*'Multiple Regression Outputs'!$B$15+H150*'Multiple Regression Outputs'!$B$16+I150*'Multiple Regression Outputs'!$B$17+J150*'Multiple Regression Outputs'!$B$18+K150*'Multiple Regression Outputs'!$B$19+L150*'Multiple Regression Outputs'!$B$20+M150*'Multiple Regression Outputs'!$B$21+N150*'Multiple Regression Outputs'!$B$22+O150*'Multiple Regression Outputs'!$B$23+P150*'Multiple Regression Outputs'!$B$24+Q150*'Multiple Regression Outputs'!$B$25+R150*'Multiple Regression Outputs'!$B$26+S150*'Multiple Regression Outputs'!$B$27+T150*'Multiple Regression Outputs'!$B$28</f>
        <v>610639.19855177391</v>
      </c>
      <c r="V150" s="2">
        <f t="shared" si="2"/>
        <v>3385.711448226124</v>
      </c>
    </row>
    <row r="151" spans="1:22" ht="15" customHeight="1">
      <c r="A151" s="2">
        <v>150</v>
      </c>
      <c r="B151" s="2" t="s">
        <v>63</v>
      </c>
      <c r="C151" s="2" t="s">
        <v>18</v>
      </c>
      <c r="D151" s="2" t="s">
        <v>28</v>
      </c>
      <c r="E151" s="2" t="s">
        <v>32</v>
      </c>
      <c r="F151" s="2">
        <v>712868.35</v>
      </c>
      <c r="G151" s="2">
        <v>43319.94</v>
      </c>
      <c r="H151" s="2">
        <v>6551</v>
      </c>
      <c r="I151" s="2">
        <v>4.3999999999999997E-2</v>
      </c>
      <c r="J151" s="2">
        <v>13</v>
      </c>
      <c r="K151" s="2">
        <v>99</v>
      </c>
      <c r="L151" s="2">
        <v>5.45</v>
      </c>
      <c r="M151" s="2">
        <v>0</v>
      </c>
      <c r="N151" s="2">
        <v>4.0999999999999996</v>
      </c>
      <c r="O151" s="2">
        <v>0</v>
      </c>
      <c r="P151" s="2">
        <v>1</v>
      </c>
      <c r="Q151" s="2">
        <v>0</v>
      </c>
      <c r="R151" s="2">
        <v>0</v>
      </c>
      <c r="S151" s="2">
        <v>1</v>
      </c>
      <c r="T151" s="2">
        <v>0</v>
      </c>
      <c r="U151" s="2">
        <f>'Multiple Regression Outputs'!$B$14+G151*'Multiple Regression Outputs'!$B$15+H151*'Multiple Regression Outputs'!$B$16+I151*'Multiple Regression Outputs'!$B$17+J151*'Multiple Regression Outputs'!$B$18+K151*'Multiple Regression Outputs'!$B$19+L151*'Multiple Regression Outputs'!$B$20+M151*'Multiple Regression Outputs'!$B$21+N151*'Multiple Regression Outputs'!$B$22+O151*'Multiple Regression Outputs'!$B$23+P151*'Multiple Regression Outputs'!$B$24+Q151*'Multiple Regression Outputs'!$B$25+R151*'Multiple Regression Outputs'!$B$26+S151*'Multiple Regression Outputs'!$B$27+T151*'Multiple Regression Outputs'!$B$28</f>
        <v>706544.32321964193</v>
      </c>
      <c r="V151" s="2">
        <f t="shared" si="2"/>
        <v>6324.02678035805</v>
      </c>
    </row>
    <row r="152" spans="1:22" ht="15" customHeight="1">
      <c r="A152" s="2">
        <v>151</v>
      </c>
      <c r="B152" s="2" t="s">
        <v>63</v>
      </c>
      <c r="C152" s="2" t="s">
        <v>19</v>
      </c>
      <c r="D152" s="2" t="s">
        <v>28</v>
      </c>
      <c r="E152" s="2" t="s">
        <v>32</v>
      </c>
      <c r="F152" s="2">
        <v>696744.15</v>
      </c>
      <c r="G152" s="2">
        <v>47093.55</v>
      </c>
      <c r="H152" s="2">
        <v>5550</v>
      </c>
      <c r="I152" s="2">
        <v>0.1</v>
      </c>
      <c r="J152" s="2">
        <v>12</v>
      </c>
      <c r="K152" s="2">
        <v>95</v>
      </c>
      <c r="L152" s="2">
        <v>2.33</v>
      </c>
      <c r="M152" s="2">
        <v>1</v>
      </c>
      <c r="N152" s="2">
        <v>3.7</v>
      </c>
      <c r="O152" s="2">
        <v>0</v>
      </c>
      <c r="P152" s="2">
        <v>1</v>
      </c>
      <c r="Q152" s="2">
        <v>0</v>
      </c>
      <c r="R152" s="2">
        <v>0</v>
      </c>
      <c r="S152" s="2">
        <v>1</v>
      </c>
      <c r="T152" s="2">
        <v>0</v>
      </c>
      <c r="U152" s="2">
        <f>'Multiple Regression Outputs'!$B$14+G152*'Multiple Regression Outputs'!$B$15+H152*'Multiple Regression Outputs'!$B$16+I152*'Multiple Regression Outputs'!$B$17+J152*'Multiple Regression Outputs'!$B$18+K152*'Multiple Regression Outputs'!$B$19+L152*'Multiple Regression Outputs'!$B$20+M152*'Multiple Regression Outputs'!$B$21+N152*'Multiple Regression Outputs'!$B$22+O152*'Multiple Regression Outputs'!$B$23+P152*'Multiple Regression Outputs'!$B$24+Q152*'Multiple Regression Outputs'!$B$25+R152*'Multiple Regression Outputs'!$B$26+S152*'Multiple Regression Outputs'!$B$27+T152*'Multiple Regression Outputs'!$B$28</f>
        <v>686560.13326618355</v>
      </c>
      <c r="V152" s="2">
        <f t="shared" si="2"/>
        <v>10184.016733816476</v>
      </c>
    </row>
    <row r="153" spans="1:22" ht="15" customHeight="1">
      <c r="A153" s="2">
        <v>152</v>
      </c>
      <c r="B153" s="2" t="s">
        <v>63</v>
      </c>
      <c r="C153" s="2" t="s">
        <v>20</v>
      </c>
      <c r="D153" s="2" t="s">
        <v>28</v>
      </c>
      <c r="E153" s="2" t="s">
        <v>32</v>
      </c>
      <c r="F153" s="2">
        <v>725847.99</v>
      </c>
      <c r="G153" s="2">
        <v>71855.09</v>
      </c>
      <c r="H153" s="2">
        <v>5911</v>
      </c>
      <c r="I153" s="2">
        <v>0.19700000000000001</v>
      </c>
      <c r="J153" s="2">
        <v>15</v>
      </c>
      <c r="K153" s="2">
        <v>94.3</v>
      </c>
      <c r="L153" s="2">
        <v>3.55</v>
      </c>
      <c r="M153" s="2">
        <v>0</v>
      </c>
      <c r="N153" s="2">
        <v>4.0999999999999996</v>
      </c>
      <c r="O153" s="2">
        <v>0</v>
      </c>
      <c r="P153" s="2">
        <v>1</v>
      </c>
      <c r="Q153" s="2">
        <v>0</v>
      </c>
      <c r="R153" s="2">
        <v>0</v>
      </c>
      <c r="S153" s="2">
        <v>1</v>
      </c>
      <c r="T153" s="2">
        <v>0</v>
      </c>
      <c r="U153" s="2">
        <f>'Multiple Regression Outputs'!$B$14+G153*'Multiple Regression Outputs'!$B$15+H153*'Multiple Regression Outputs'!$B$16+I153*'Multiple Regression Outputs'!$B$17+J153*'Multiple Regression Outputs'!$B$18+K153*'Multiple Regression Outputs'!$B$19+L153*'Multiple Regression Outputs'!$B$20+M153*'Multiple Regression Outputs'!$B$21+N153*'Multiple Regression Outputs'!$B$22+O153*'Multiple Regression Outputs'!$B$23+P153*'Multiple Regression Outputs'!$B$24+Q153*'Multiple Regression Outputs'!$B$25+R153*'Multiple Regression Outputs'!$B$26+S153*'Multiple Regression Outputs'!$B$27+T153*'Multiple Regression Outputs'!$B$28</f>
        <v>716421.26279076992</v>
      </c>
      <c r="V153" s="2">
        <f t="shared" si="2"/>
        <v>9426.72720923007</v>
      </c>
    </row>
    <row r="154" spans="1:22" ht="15" customHeight="1">
      <c r="A154" s="2">
        <v>153</v>
      </c>
      <c r="B154" s="2" t="s">
        <v>64</v>
      </c>
      <c r="C154" s="2" t="s">
        <v>15</v>
      </c>
      <c r="D154" s="2" t="s">
        <v>16</v>
      </c>
      <c r="E154" s="2" t="s">
        <v>22</v>
      </c>
      <c r="F154" s="2">
        <v>785028.25</v>
      </c>
      <c r="G154" s="2">
        <v>75645.23</v>
      </c>
      <c r="H154" s="2">
        <v>9674</v>
      </c>
      <c r="I154" s="2">
        <v>0.23400000000000001</v>
      </c>
      <c r="J154" s="2">
        <v>21</v>
      </c>
      <c r="K154" s="2">
        <v>87.4</v>
      </c>
      <c r="L154" s="2">
        <v>0.2</v>
      </c>
      <c r="M154" s="2">
        <v>0</v>
      </c>
      <c r="N154" s="2">
        <v>4.5</v>
      </c>
      <c r="O154" s="2">
        <v>1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f>'Multiple Regression Outputs'!$B$14+G154*'Multiple Regression Outputs'!$B$15+H154*'Multiple Regression Outputs'!$B$16+I154*'Multiple Regression Outputs'!$B$17+J154*'Multiple Regression Outputs'!$B$18+K154*'Multiple Regression Outputs'!$B$19+L154*'Multiple Regression Outputs'!$B$20+M154*'Multiple Regression Outputs'!$B$21+N154*'Multiple Regression Outputs'!$B$22+O154*'Multiple Regression Outputs'!$B$23+P154*'Multiple Regression Outputs'!$B$24+Q154*'Multiple Regression Outputs'!$B$25+R154*'Multiple Regression Outputs'!$B$26+S154*'Multiple Regression Outputs'!$B$27+T154*'Multiple Regression Outputs'!$B$28</f>
        <v>805086.59565312625</v>
      </c>
      <c r="V154" s="2">
        <f t="shared" si="2"/>
        <v>-20058.345653126249</v>
      </c>
    </row>
    <row r="155" spans="1:22" ht="15" customHeight="1">
      <c r="A155" s="2">
        <v>154</v>
      </c>
      <c r="B155" s="2" t="s">
        <v>64</v>
      </c>
      <c r="C155" s="2" t="s">
        <v>18</v>
      </c>
      <c r="D155" s="2" t="s">
        <v>16</v>
      </c>
      <c r="E155" s="2" t="s">
        <v>22</v>
      </c>
      <c r="F155" s="2">
        <v>698492.67</v>
      </c>
      <c r="G155" s="2">
        <v>64374.75</v>
      </c>
      <c r="H155" s="2">
        <v>6740</v>
      </c>
      <c r="I155" s="2">
        <v>0.16900000000000001</v>
      </c>
      <c r="J155" s="2">
        <v>18</v>
      </c>
      <c r="K155" s="2">
        <v>87</v>
      </c>
      <c r="L155" s="2">
        <v>2.09</v>
      </c>
      <c r="M155" s="2">
        <v>0</v>
      </c>
      <c r="N155" s="2">
        <v>4.2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f>'Multiple Regression Outputs'!$B$14+G155*'Multiple Regression Outputs'!$B$15+H155*'Multiple Regression Outputs'!$B$16+I155*'Multiple Regression Outputs'!$B$17+J155*'Multiple Regression Outputs'!$B$18+K155*'Multiple Regression Outputs'!$B$19+L155*'Multiple Regression Outputs'!$B$20+M155*'Multiple Regression Outputs'!$B$21+N155*'Multiple Regression Outputs'!$B$22+O155*'Multiple Regression Outputs'!$B$23+P155*'Multiple Regression Outputs'!$B$24+Q155*'Multiple Regression Outputs'!$B$25+R155*'Multiple Regression Outputs'!$B$26+S155*'Multiple Regression Outputs'!$B$27+T155*'Multiple Regression Outputs'!$B$28</f>
        <v>691925.58592049766</v>
      </c>
      <c r="V155" s="2">
        <f t="shared" si="2"/>
        <v>6567.0840795023832</v>
      </c>
    </row>
    <row r="156" spans="1:22" ht="15" customHeight="1">
      <c r="A156" s="2">
        <v>155</v>
      </c>
      <c r="B156" s="2" t="s">
        <v>64</v>
      </c>
      <c r="C156" s="2" t="s">
        <v>19</v>
      </c>
      <c r="D156" s="2" t="s">
        <v>16</v>
      </c>
      <c r="E156" s="2" t="s">
        <v>22</v>
      </c>
      <c r="F156" s="2">
        <v>685830.24</v>
      </c>
      <c r="G156" s="2">
        <v>61433.84</v>
      </c>
      <c r="H156" s="2">
        <v>7745</v>
      </c>
      <c r="I156" s="2">
        <v>0.18</v>
      </c>
      <c r="J156" s="2">
        <v>16</v>
      </c>
      <c r="K156" s="2">
        <v>90.5</v>
      </c>
      <c r="L156" s="2">
        <v>2.2599999999999998</v>
      </c>
      <c r="M156" s="2">
        <v>0</v>
      </c>
      <c r="N156" s="2">
        <v>4.2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f>'Multiple Regression Outputs'!$B$14+G156*'Multiple Regression Outputs'!$B$15+H156*'Multiple Regression Outputs'!$B$16+I156*'Multiple Regression Outputs'!$B$17+J156*'Multiple Regression Outputs'!$B$18+K156*'Multiple Regression Outputs'!$B$19+L156*'Multiple Regression Outputs'!$B$20+M156*'Multiple Regression Outputs'!$B$21+N156*'Multiple Regression Outputs'!$B$22+O156*'Multiple Regression Outputs'!$B$23+P156*'Multiple Regression Outputs'!$B$24+Q156*'Multiple Regression Outputs'!$B$25+R156*'Multiple Regression Outputs'!$B$26+S156*'Multiple Regression Outputs'!$B$27+T156*'Multiple Regression Outputs'!$B$28</f>
        <v>718502.95559918135</v>
      </c>
      <c r="V156" s="2">
        <f t="shared" si="2"/>
        <v>-32672.715599181363</v>
      </c>
    </row>
    <row r="157" spans="1:22" ht="15" customHeight="1">
      <c r="A157" s="2">
        <v>156</v>
      </c>
      <c r="B157" s="2" t="s">
        <v>64</v>
      </c>
      <c r="C157" s="2" t="s">
        <v>20</v>
      </c>
      <c r="D157" s="2" t="s">
        <v>16</v>
      </c>
      <c r="E157" s="2" t="s">
        <v>22</v>
      </c>
      <c r="F157" s="2">
        <v>702318.94</v>
      </c>
      <c r="G157" s="2">
        <v>42698.14</v>
      </c>
      <c r="H157" s="2">
        <v>7693</v>
      </c>
      <c r="I157" s="2">
        <v>0.187</v>
      </c>
      <c r="J157" s="2">
        <v>19</v>
      </c>
      <c r="K157" s="2">
        <v>90.1</v>
      </c>
      <c r="L157" s="2">
        <v>0.44</v>
      </c>
      <c r="M157" s="2">
        <v>0</v>
      </c>
      <c r="N157" s="2">
        <v>4.4000000000000004</v>
      </c>
      <c r="O157" s="2">
        <v>1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f>'Multiple Regression Outputs'!$B$14+G157*'Multiple Regression Outputs'!$B$15+H157*'Multiple Regression Outputs'!$B$16+I157*'Multiple Regression Outputs'!$B$17+J157*'Multiple Regression Outputs'!$B$18+K157*'Multiple Regression Outputs'!$B$19+L157*'Multiple Regression Outputs'!$B$20+M157*'Multiple Regression Outputs'!$B$21+N157*'Multiple Regression Outputs'!$B$22+O157*'Multiple Regression Outputs'!$B$23+P157*'Multiple Regression Outputs'!$B$24+Q157*'Multiple Regression Outputs'!$B$25+R157*'Multiple Regression Outputs'!$B$26+S157*'Multiple Regression Outputs'!$B$27+T157*'Multiple Regression Outputs'!$B$28</f>
        <v>712183.47621220525</v>
      </c>
      <c r="V157" s="2">
        <f t="shared" si="2"/>
        <v>-9864.5362122053048</v>
      </c>
    </row>
    <row r="158" spans="1:22" ht="15" customHeight="1">
      <c r="A158" s="2">
        <v>157</v>
      </c>
      <c r="B158" s="2" t="s">
        <v>65</v>
      </c>
      <c r="C158" s="2" t="s">
        <v>15</v>
      </c>
      <c r="D158" s="2" t="s">
        <v>24</v>
      </c>
      <c r="E158" s="2" t="s">
        <v>32</v>
      </c>
      <c r="F158" s="2">
        <v>700078.32</v>
      </c>
      <c r="G158" s="2">
        <v>86883.31</v>
      </c>
      <c r="H158" s="2">
        <v>6424</v>
      </c>
      <c r="I158" s="2">
        <v>5.7000000000000002E-2</v>
      </c>
      <c r="J158" s="2">
        <v>19</v>
      </c>
      <c r="K158" s="2">
        <v>85.2</v>
      </c>
      <c r="L158" s="2">
        <v>3.08</v>
      </c>
      <c r="M158" s="2">
        <v>0</v>
      </c>
      <c r="N158" s="2">
        <v>3.9</v>
      </c>
      <c r="O158" s="2">
        <v>0</v>
      </c>
      <c r="P158" s="2">
        <v>1</v>
      </c>
      <c r="Q158" s="2">
        <v>0</v>
      </c>
      <c r="R158" s="2">
        <v>1</v>
      </c>
      <c r="S158" s="2">
        <v>0</v>
      </c>
      <c r="T158" s="2">
        <v>0</v>
      </c>
      <c r="U158" s="2">
        <f>'Multiple Regression Outputs'!$B$14+G158*'Multiple Regression Outputs'!$B$15+H158*'Multiple Regression Outputs'!$B$16+I158*'Multiple Regression Outputs'!$B$17+J158*'Multiple Regression Outputs'!$B$18+K158*'Multiple Regression Outputs'!$B$19+L158*'Multiple Regression Outputs'!$B$20+M158*'Multiple Regression Outputs'!$B$21+N158*'Multiple Regression Outputs'!$B$22+O158*'Multiple Regression Outputs'!$B$23+P158*'Multiple Regression Outputs'!$B$24+Q158*'Multiple Regression Outputs'!$B$25+R158*'Multiple Regression Outputs'!$B$26+S158*'Multiple Regression Outputs'!$B$27+T158*'Multiple Regression Outputs'!$B$28</f>
        <v>728542.49255438976</v>
      </c>
      <c r="V158" s="2">
        <f t="shared" si="2"/>
        <v>-28464.172554389806</v>
      </c>
    </row>
    <row r="159" spans="1:22" ht="15" customHeight="1">
      <c r="A159" s="2">
        <v>158</v>
      </c>
      <c r="B159" s="2" t="s">
        <v>65</v>
      </c>
      <c r="C159" s="2" t="s">
        <v>18</v>
      </c>
      <c r="D159" s="2" t="s">
        <v>24</v>
      </c>
      <c r="E159" s="2" t="s">
        <v>32</v>
      </c>
      <c r="F159" s="2">
        <v>602002.31999999995</v>
      </c>
      <c r="G159" s="2">
        <v>41863.08</v>
      </c>
      <c r="H159" s="2">
        <v>5400</v>
      </c>
      <c r="I159" s="2">
        <v>0.114</v>
      </c>
      <c r="J159" s="2">
        <v>11</v>
      </c>
      <c r="K159" s="2">
        <v>91.6</v>
      </c>
      <c r="L159" s="2">
        <v>7.99</v>
      </c>
      <c r="M159" s="2">
        <v>0</v>
      </c>
      <c r="N159" s="2">
        <v>3</v>
      </c>
      <c r="O159" s="2">
        <v>0</v>
      </c>
      <c r="P159" s="2">
        <v>1</v>
      </c>
      <c r="Q159" s="2">
        <v>0</v>
      </c>
      <c r="R159" s="2">
        <v>1</v>
      </c>
      <c r="S159" s="2">
        <v>0</v>
      </c>
      <c r="T159" s="2">
        <v>0</v>
      </c>
      <c r="U159" s="2">
        <f>'Multiple Regression Outputs'!$B$14+G159*'Multiple Regression Outputs'!$B$15+H159*'Multiple Regression Outputs'!$B$16+I159*'Multiple Regression Outputs'!$B$17+J159*'Multiple Regression Outputs'!$B$18+K159*'Multiple Regression Outputs'!$B$19+L159*'Multiple Regression Outputs'!$B$20+M159*'Multiple Regression Outputs'!$B$21+N159*'Multiple Regression Outputs'!$B$22+O159*'Multiple Regression Outputs'!$B$23+P159*'Multiple Regression Outputs'!$B$24+Q159*'Multiple Regression Outputs'!$B$25+R159*'Multiple Regression Outputs'!$B$26+S159*'Multiple Regression Outputs'!$B$27+T159*'Multiple Regression Outputs'!$B$28</f>
        <v>607119.43808879727</v>
      </c>
      <c r="V159" s="2">
        <f t="shared" si="2"/>
        <v>-5117.1180887973169</v>
      </c>
    </row>
    <row r="160" spans="1:22" ht="15" customHeight="1">
      <c r="A160" s="2">
        <v>159</v>
      </c>
      <c r="B160" s="2" t="s">
        <v>65</v>
      </c>
      <c r="C160" s="2" t="s">
        <v>19</v>
      </c>
      <c r="D160" s="2" t="s">
        <v>24</v>
      </c>
      <c r="E160" s="2" t="s">
        <v>32</v>
      </c>
      <c r="F160" s="2">
        <v>724216.07</v>
      </c>
      <c r="G160" s="2">
        <v>56918.16</v>
      </c>
      <c r="H160" s="2">
        <v>7015</v>
      </c>
      <c r="I160" s="2">
        <v>0.158</v>
      </c>
      <c r="J160" s="2">
        <v>18</v>
      </c>
      <c r="K160" s="2">
        <v>74.2</v>
      </c>
      <c r="L160" s="2">
        <v>0.2</v>
      </c>
      <c r="M160" s="2">
        <v>0</v>
      </c>
      <c r="N160" s="2">
        <v>3.4</v>
      </c>
      <c r="O160" s="2">
        <v>0</v>
      </c>
      <c r="P160" s="2">
        <v>1</v>
      </c>
      <c r="Q160" s="2">
        <v>0</v>
      </c>
      <c r="R160" s="2">
        <v>1</v>
      </c>
      <c r="S160" s="2">
        <v>0</v>
      </c>
      <c r="T160" s="2">
        <v>0</v>
      </c>
      <c r="U160" s="2">
        <f>'Multiple Regression Outputs'!$B$14+G160*'Multiple Regression Outputs'!$B$15+H160*'Multiple Regression Outputs'!$B$16+I160*'Multiple Regression Outputs'!$B$17+J160*'Multiple Regression Outputs'!$B$18+K160*'Multiple Regression Outputs'!$B$19+L160*'Multiple Regression Outputs'!$B$20+M160*'Multiple Regression Outputs'!$B$21+N160*'Multiple Regression Outputs'!$B$22+O160*'Multiple Regression Outputs'!$B$23+P160*'Multiple Regression Outputs'!$B$24+Q160*'Multiple Regression Outputs'!$B$25+R160*'Multiple Regression Outputs'!$B$26+S160*'Multiple Regression Outputs'!$B$27+T160*'Multiple Regression Outputs'!$B$28</f>
        <v>670731.24472926301</v>
      </c>
      <c r="V160" s="2">
        <f t="shared" si="2"/>
        <v>53484.825270736939</v>
      </c>
    </row>
    <row r="161" spans="1:22" ht="15" customHeight="1">
      <c r="A161" s="2">
        <v>160</v>
      </c>
      <c r="B161" s="2" t="s">
        <v>65</v>
      </c>
      <c r="C161" s="2" t="s">
        <v>20</v>
      </c>
      <c r="D161" s="2" t="s">
        <v>24</v>
      </c>
      <c r="E161" s="2" t="s">
        <v>32</v>
      </c>
      <c r="F161" s="2">
        <v>620973.03</v>
      </c>
      <c r="G161" s="2">
        <v>23254.57</v>
      </c>
      <c r="H161" s="2">
        <v>3847</v>
      </c>
      <c r="I161" s="2">
        <v>0.159</v>
      </c>
      <c r="J161" s="2">
        <v>12</v>
      </c>
      <c r="K161" s="2">
        <v>93</v>
      </c>
      <c r="L161" s="2">
        <v>5.46</v>
      </c>
      <c r="M161" s="2">
        <v>0</v>
      </c>
      <c r="N161" s="2">
        <v>3.3</v>
      </c>
      <c r="O161" s="2">
        <v>0</v>
      </c>
      <c r="P161" s="2">
        <v>1</v>
      </c>
      <c r="Q161" s="2">
        <v>0</v>
      </c>
      <c r="R161" s="2">
        <v>1</v>
      </c>
      <c r="S161" s="2">
        <v>0</v>
      </c>
      <c r="T161" s="2">
        <v>0</v>
      </c>
      <c r="U161" s="2">
        <f>'Multiple Regression Outputs'!$B$14+G161*'Multiple Regression Outputs'!$B$15+H161*'Multiple Regression Outputs'!$B$16+I161*'Multiple Regression Outputs'!$B$17+J161*'Multiple Regression Outputs'!$B$18+K161*'Multiple Regression Outputs'!$B$19+L161*'Multiple Regression Outputs'!$B$20+M161*'Multiple Regression Outputs'!$B$21+N161*'Multiple Regression Outputs'!$B$22+O161*'Multiple Regression Outputs'!$B$23+P161*'Multiple Regression Outputs'!$B$24+Q161*'Multiple Regression Outputs'!$B$25+R161*'Multiple Regression Outputs'!$B$26+S161*'Multiple Regression Outputs'!$B$27+T161*'Multiple Regression Outputs'!$B$28</f>
        <v>560542.16436684469</v>
      </c>
      <c r="V161" s="2">
        <f t="shared" si="2"/>
        <v>60430.865633155336</v>
      </c>
    </row>
    <row r="162" spans="1:22" ht="15" customHeight="1">
      <c r="A162" s="2">
        <v>161</v>
      </c>
      <c r="B162" s="2" t="s">
        <v>66</v>
      </c>
      <c r="C162" s="2" t="s">
        <v>15</v>
      </c>
      <c r="D162" s="2" t="s">
        <v>28</v>
      </c>
      <c r="E162" s="2" t="s">
        <v>22</v>
      </c>
      <c r="F162" s="2">
        <v>650480.06000000006</v>
      </c>
      <c r="G162" s="2">
        <v>41443.410000000003</v>
      </c>
      <c r="H162" s="2">
        <v>7455</v>
      </c>
      <c r="I162" s="2">
        <v>0.17499999999999999</v>
      </c>
      <c r="J162" s="2">
        <v>16</v>
      </c>
      <c r="K162" s="2">
        <v>90.1</v>
      </c>
      <c r="L162" s="2">
        <v>4.05</v>
      </c>
      <c r="M162" s="2">
        <v>0</v>
      </c>
      <c r="N162" s="2">
        <v>4</v>
      </c>
      <c r="O162" s="2">
        <v>1</v>
      </c>
      <c r="P162" s="2">
        <v>0</v>
      </c>
      <c r="Q162" s="2">
        <v>0</v>
      </c>
      <c r="R162" s="2">
        <v>0</v>
      </c>
      <c r="S162" s="2">
        <v>1</v>
      </c>
      <c r="T162" s="2">
        <v>0</v>
      </c>
      <c r="U162" s="2">
        <f>'Multiple Regression Outputs'!$B$14+G162*'Multiple Regression Outputs'!$B$15+H162*'Multiple Regression Outputs'!$B$16+I162*'Multiple Regression Outputs'!$B$17+J162*'Multiple Regression Outputs'!$B$18+K162*'Multiple Regression Outputs'!$B$19+L162*'Multiple Regression Outputs'!$B$20+M162*'Multiple Regression Outputs'!$B$21+N162*'Multiple Regression Outputs'!$B$22+O162*'Multiple Regression Outputs'!$B$23+P162*'Multiple Regression Outputs'!$B$24+Q162*'Multiple Regression Outputs'!$B$25+R162*'Multiple Regression Outputs'!$B$26+S162*'Multiple Regression Outputs'!$B$27+T162*'Multiple Regression Outputs'!$B$28</f>
        <v>697803.26017699321</v>
      </c>
      <c r="V162" s="2">
        <f t="shared" si="2"/>
        <v>-47323.200176993152</v>
      </c>
    </row>
    <row r="163" spans="1:22" ht="15" customHeight="1">
      <c r="A163" s="2">
        <v>162</v>
      </c>
      <c r="B163" s="2" t="s">
        <v>66</v>
      </c>
      <c r="C163" s="2" t="s">
        <v>18</v>
      </c>
      <c r="D163" s="2" t="s">
        <v>28</v>
      </c>
      <c r="E163" s="2" t="s">
        <v>22</v>
      </c>
      <c r="F163" s="2">
        <v>778298.88</v>
      </c>
      <c r="G163" s="2">
        <v>48438.85</v>
      </c>
      <c r="H163" s="2">
        <v>6992</v>
      </c>
      <c r="I163" s="2">
        <v>3.4000000000000002E-2</v>
      </c>
      <c r="J163" s="2">
        <v>20</v>
      </c>
      <c r="K163" s="2">
        <v>91</v>
      </c>
      <c r="L163" s="2">
        <v>4.3600000000000003</v>
      </c>
      <c r="M163" s="2">
        <v>0</v>
      </c>
      <c r="N163" s="2">
        <v>4.2</v>
      </c>
      <c r="O163" s="2">
        <v>1</v>
      </c>
      <c r="P163" s="2">
        <v>0</v>
      </c>
      <c r="Q163" s="2">
        <v>0</v>
      </c>
      <c r="R163" s="2">
        <v>0</v>
      </c>
      <c r="S163" s="2">
        <v>1</v>
      </c>
      <c r="T163" s="2">
        <v>0</v>
      </c>
      <c r="U163" s="2">
        <f>'Multiple Regression Outputs'!$B$14+G163*'Multiple Regression Outputs'!$B$15+H163*'Multiple Regression Outputs'!$B$16+I163*'Multiple Regression Outputs'!$B$17+J163*'Multiple Regression Outputs'!$B$18+K163*'Multiple Regression Outputs'!$B$19+L163*'Multiple Regression Outputs'!$B$20+M163*'Multiple Regression Outputs'!$B$21+N163*'Multiple Regression Outputs'!$B$22+O163*'Multiple Regression Outputs'!$B$23+P163*'Multiple Regression Outputs'!$B$24+Q163*'Multiple Regression Outputs'!$B$25+R163*'Multiple Regression Outputs'!$B$26+S163*'Multiple Regression Outputs'!$B$27+T163*'Multiple Regression Outputs'!$B$28</f>
        <v>717651.53285295155</v>
      </c>
      <c r="V163" s="2">
        <f t="shared" si="2"/>
        <v>60647.347147048451</v>
      </c>
    </row>
    <row r="164" spans="1:22" ht="15" customHeight="1">
      <c r="A164" s="2">
        <v>163</v>
      </c>
      <c r="B164" s="2" t="s">
        <v>66</v>
      </c>
      <c r="C164" s="2" t="s">
        <v>19</v>
      </c>
      <c r="D164" s="2" t="s">
        <v>28</v>
      </c>
      <c r="E164" s="2" t="s">
        <v>22</v>
      </c>
      <c r="F164" s="2">
        <v>677096.71</v>
      </c>
      <c r="G164" s="2">
        <v>57143.3</v>
      </c>
      <c r="H164" s="2">
        <v>8038</v>
      </c>
      <c r="I164" s="2">
        <v>0.193</v>
      </c>
      <c r="J164" s="2">
        <v>17</v>
      </c>
      <c r="K164" s="2">
        <v>72.599999999999994</v>
      </c>
      <c r="L164" s="2">
        <v>3.3650000000000002</v>
      </c>
      <c r="M164" s="2">
        <v>0</v>
      </c>
      <c r="N164" s="2">
        <v>4.2</v>
      </c>
      <c r="O164" s="2">
        <v>1</v>
      </c>
      <c r="P164" s="2">
        <v>0</v>
      </c>
      <c r="Q164" s="2">
        <v>0</v>
      </c>
      <c r="R164" s="2">
        <v>0</v>
      </c>
      <c r="S164" s="2">
        <v>1</v>
      </c>
      <c r="T164" s="2">
        <v>0</v>
      </c>
      <c r="U164" s="2">
        <f>'Multiple Regression Outputs'!$B$14+G164*'Multiple Regression Outputs'!$B$15+H164*'Multiple Regression Outputs'!$B$16+I164*'Multiple Regression Outputs'!$B$17+J164*'Multiple Regression Outputs'!$B$18+K164*'Multiple Regression Outputs'!$B$19+L164*'Multiple Regression Outputs'!$B$20+M164*'Multiple Regression Outputs'!$B$21+N164*'Multiple Regression Outputs'!$B$22+O164*'Multiple Regression Outputs'!$B$23+P164*'Multiple Regression Outputs'!$B$24+Q164*'Multiple Regression Outputs'!$B$25+R164*'Multiple Regression Outputs'!$B$26+S164*'Multiple Regression Outputs'!$B$27+T164*'Multiple Regression Outputs'!$B$28</f>
        <v>686770.34465521597</v>
      </c>
      <c r="V164" s="2">
        <f t="shared" si="2"/>
        <v>-9673.6346552160103</v>
      </c>
    </row>
    <row r="165" spans="1:22" ht="15" customHeight="1">
      <c r="A165" s="2">
        <v>164</v>
      </c>
      <c r="B165" s="2" t="s">
        <v>66</v>
      </c>
      <c r="C165" s="2" t="s">
        <v>20</v>
      </c>
      <c r="D165" s="2" t="s">
        <v>28</v>
      </c>
      <c r="E165" s="2" t="s">
        <v>22</v>
      </c>
      <c r="F165" s="2">
        <v>692008.64</v>
      </c>
      <c r="G165" s="2">
        <v>66870.62</v>
      </c>
      <c r="H165" s="2">
        <v>6055</v>
      </c>
      <c r="I165" s="2">
        <v>7.4999999999999997E-2</v>
      </c>
      <c r="J165" s="2">
        <v>19</v>
      </c>
      <c r="K165" s="2">
        <v>93.8</v>
      </c>
      <c r="L165" s="2">
        <v>0.54</v>
      </c>
      <c r="M165" s="2">
        <v>0</v>
      </c>
      <c r="N165" s="2">
        <v>4.3</v>
      </c>
      <c r="O165" s="2">
        <v>1</v>
      </c>
      <c r="P165" s="2">
        <v>0</v>
      </c>
      <c r="Q165" s="2">
        <v>0</v>
      </c>
      <c r="R165" s="2">
        <v>0</v>
      </c>
      <c r="S165" s="2">
        <v>1</v>
      </c>
      <c r="T165" s="2">
        <v>0</v>
      </c>
      <c r="U165" s="2">
        <f>'Multiple Regression Outputs'!$B$14+G165*'Multiple Regression Outputs'!$B$15+H165*'Multiple Regression Outputs'!$B$16+I165*'Multiple Regression Outputs'!$B$17+J165*'Multiple Regression Outputs'!$B$18+K165*'Multiple Regression Outputs'!$B$19+L165*'Multiple Regression Outputs'!$B$20+M165*'Multiple Regression Outputs'!$B$21+N165*'Multiple Regression Outputs'!$B$22+O165*'Multiple Regression Outputs'!$B$23+P165*'Multiple Regression Outputs'!$B$24+Q165*'Multiple Regression Outputs'!$B$25+R165*'Multiple Regression Outputs'!$B$26+S165*'Multiple Regression Outputs'!$B$27+T165*'Multiple Regression Outputs'!$B$28</f>
        <v>732097.98087481479</v>
      </c>
      <c r="V165" s="2">
        <f t="shared" si="2"/>
        <v>-40089.340874814778</v>
      </c>
    </row>
    <row r="166" spans="1:22" ht="15" customHeight="1">
      <c r="A166" s="2">
        <v>165</v>
      </c>
      <c r="B166" s="2" t="s">
        <v>67</v>
      </c>
      <c r="C166" s="2" t="s">
        <v>15</v>
      </c>
      <c r="D166" s="2" t="s">
        <v>24</v>
      </c>
      <c r="E166" s="2" t="s">
        <v>32</v>
      </c>
      <c r="F166" s="2">
        <v>825797.91</v>
      </c>
      <c r="G166" s="2">
        <v>72150.53</v>
      </c>
      <c r="H166" s="2">
        <v>9323</v>
      </c>
      <c r="I166" s="2">
        <v>0.157</v>
      </c>
      <c r="J166" s="2">
        <v>22</v>
      </c>
      <c r="K166" s="2">
        <v>82.9</v>
      </c>
      <c r="L166" s="2">
        <v>11.37</v>
      </c>
      <c r="M166" s="2">
        <v>1</v>
      </c>
      <c r="N166" s="2">
        <v>4.3</v>
      </c>
      <c r="O166" s="2">
        <v>0</v>
      </c>
      <c r="P166" s="2">
        <v>1</v>
      </c>
      <c r="Q166" s="2">
        <v>0</v>
      </c>
      <c r="R166" s="2">
        <v>1</v>
      </c>
      <c r="S166" s="2">
        <v>0</v>
      </c>
      <c r="T166" s="2">
        <v>0</v>
      </c>
      <c r="U166" s="2">
        <f>'Multiple Regression Outputs'!$B$14+G166*'Multiple Regression Outputs'!$B$15+H166*'Multiple Regression Outputs'!$B$16+I166*'Multiple Regression Outputs'!$B$17+J166*'Multiple Regression Outputs'!$B$18+K166*'Multiple Regression Outputs'!$B$19+L166*'Multiple Regression Outputs'!$B$20+M166*'Multiple Regression Outputs'!$B$21+N166*'Multiple Regression Outputs'!$B$22+O166*'Multiple Regression Outputs'!$B$23+P166*'Multiple Regression Outputs'!$B$24+Q166*'Multiple Regression Outputs'!$B$25+R166*'Multiple Regression Outputs'!$B$26+S166*'Multiple Regression Outputs'!$B$27+T166*'Multiple Regression Outputs'!$B$28</f>
        <v>780981.46721312182</v>
      </c>
      <c r="V166" s="2">
        <f t="shared" si="2"/>
        <v>44816.442786878208</v>
      </c>
    </row>
    <row r="167" spans="1:22" ht="15" customHeight="1">
      <c r="A167" s="2">
        <v>166</v>
      </c>
      <c r="B167" s="2" t="s">
        <v>67</v>
      </c>
      <c r="C167" s="2" t="s">
        <v>18</v>
      </c>
      <c r="D167" s="2" t="s">
        <v>24</v>
      </c>
      <c r="E167" s="2" t="s">
        <v>32</v>
      </c>
      <c r="F167" s="2">
        <v>706285.52</v>
      </c>
      <c r="G167" s="2">
        <v>35303.300000000003</v>
      </c>
      <c r="H167" s="2">
        <v>8789</v>
      </c>
      <c r="I167" s="2">
        <v>0.123</v>
      </c>
      <c r="J167" s="2">
        <v>22</v>
      </c>
      <c r="K167" s="2">
        <v>86.1</v>
      </c>
      <c r="L167" s="2">
        <v>9.43</v>
      </c>
      <c r="M167" s="2">
        <v>0</v>
      </c>
      <c r="N167" s="2">
        <v>4.2</v>
      </c>
      <c r="O167" s="2">
        <v>0</v>
      </c>
      <c r="P167" s="2">
        <v>1</v>
      </c>
      <c r="Q167" s="2">
        <v>0</v>
      </c>
      <c r="R167" s="2">
        <v>1</v>
      </c>
      <c r="S167" s="2">
        <v>0</v>
      </c>
      <c r="T167" s="2">
        <v>0</v>
      </c>
      <c r="U167" s="2">
        <f>'Multiple Regression Outputs'!$B$14+G167*'Multiple Regression Outputs'!$B$15+H167*'Multiple Regression Outputs'!$B$16+I167*'Multiple Regression Outputs'!$B$17+J167*'Multiple Regression Outputs'!$B$18+K167*'Multiple Regression Outputs'!$B$19+L167*'Multiple Regression Outputs'!$B$20+M167*'Multiple Regression Outputs'!$B$21+N167*'Multiple Regression Outputs'!$B$22+O167*'Multiple Regression Outputs'!$B$23+P167*'Multiple Regression Outputs'!$B$24+Q167*'Multiple Regression Outputs'!$B$25+R167*'Multiple Regression Outputs'!$B$26+S167*'Multiple Regression Outputs'!$B$27+T167*'Multiple Regression Outputs'!$B$28</f>
        <v>723264.46165853972</v>
      </c>
      <c r="V167" s="2">
        <f t="shared" si="2"/>
        <v>-16978.941658539698</v>
      </c>
    </row>
    <row r="168" spans="1:22" ht="15" customHeight="1">
      <c r="A168" s="2">
        <v>167</v>
      </c>
      <c r="B168" s="2" t="s">
        <v>67</v>
      </c>
      <c r="C168" s="2" t="s">
        <v>19</v>
      </c>
      <c r="D168" s="2" t="s">
        <v>24</v>
      </c>
      <c r="E168" s="2" t="s">
        <v>32</v>
      </c>
      <c r="F168" s="2">
        <v>665534.69999999995</v>
      </c>
      <c r="G168" s="2">
        <v>30301.86</v>
      </c>
      <c r="H168" s="2">
        <v>6939</v>
      </c>
      <c r="I168" s="2">
        <v>0.09</v>
      </c>
      <c r="J168" s="2">
        <v>16</v>
      </c>
      <c r="K168" s="2">
        <v>90.3</v>
      </c>
      <c r="L168" s="2">
        <v>3.49</v>
      </c>
      <c r="M168" s="2">
        <v>0</v>
      </c>
      <c r="N168" s="2">
        <v>4</v>
      </c>
      <c r="O168" s="2">
        <v>0</v>
      </c>
      <c r="P168" s="2">
        <v>1</v>
      </c>
      <c r="Q168" s="2">
        <v>0</v>
      </c>
      <c r="R168" s="2">
        <v>1</v>
      </c>
      <c r="S168" s="2">
        <v>0</v>
      </c>
      <c r="T168" s="2">
        <v>0</v>
      </c>
      <c r="U168" s="2">
        <f>'Multiple Regression Outputs'!$B$14+G168*'Multiple Regression Outputs'!$B$15+H168*'Multiple Regression Outputs'!$B$16+I168*'Multiple Regression Outputs'!$B$17+J168*'Multiple Regression Outputs'!$B$18+K168*'Multiple Regression Outputs'!$B$19+L168*'Multiple Regression Outputs'!$B$20+M168*'Multiple Regression Outputs'!$B$21+N168*'Multiple Regression Outputs'!$B$22+O168*'Multiple Regression Outputs'!$B$23+P168*'Multiple Regression Outputs'!$B$24+Q168*'Multiple Regression Outputs'!$B$25+R168*'Multiple Regression Outputs'!$B$26+S168*'Multiple Regression Outputs'!$B$27+T168*'Multiple Regression Outputs'!$B$28</f>
        <v>677733.49734908855</v>
      </c>
      <c r="V168" s="2">
        <f t="shared" si="2"/>
        <v>-12198.797349088592</v>
      </c>
    </row>
    <row r="169" spans="1:22" ht="15" customHeight="1">
      <c r="A169" s="2">
        <v>168</v>
      </c>
      <c r="B169" s="2" t="s">
        <v>67</v>
      </c>
      <c r="C169" s="2" t="s">
        <v>20</v>
      </c>
      <c r="D169" s="2" t="s">
        <v>24</v>
      </c>
      <c r="E169" s="2" t="s">
        <v>32</v>
      </c>
      <c r="F169" s="2">
        <v>820729.29</v>
      </c>
      <c r="G169" s="2">
        <v>78432.14</v>
      </c>
      <c r="H169" s="2">
        <v>9440</v>
      </c>
      <c r="I169" s="2">
        <v>0.126</v>
      </c>
      <c r="J169" s="2">
        <v>23</v>
      </c>
      <c r="K169" s="2">
        <v>89.2</v>
      </c>
      <c r="L169" s="2">
        <v>7.86</v>
      </c>
      <c r="M169" s="2">
        <v>0</v>
      </c>
      <c r="N169" s="2">
        <v>4.0999999999999996</v>
      </c>
      <c r="O169" s="2">
        <v>0</v>
      </c>
      <c r="P169" s="2">
        <v>1</v>
      </c>
      <c r="Q169" s="2">
        <v>0</v>
      </c>
      <c r="R169" s="2">
        <v>1</v>
      </c>
      <c r="S169" s="2">
        <v>0</v>
      </c>
      <c r="T169" s="2">
        <v>0</v>
      </c>
      <c r="U169" s="2">
        <f>'Multiple Regression Outputs'!$B$14+G169*'Multiple Regression Outputs'!$B$15+H169*'Multiple Regression Outputs'!$B$16+I169*'Multiple Regression Outputs'!$B$17+J169*'Multiple Regression Outputs'!$B$18+K169*'Multiple Regression Outputs'!$B$19+L169*'Multiple Regression Outputs'!$B$20+M169*'Multiple Regression Outputs'!$B$21+N169*'Multiple Regression Outputs'!$B$22+O169*'Multiple Regression Outputs'!$B$23+P169*'Multiple Regression Outputs'!$B$24+Q169*'Multiple Regression Outputs'!$B$25+R169*'Multiple Regression Outputs'!$B$26+S169*'Multiple Regression Outputs'!$B$27+T169*'Multiple Regression Outputs'!$B$28</f>
        <v>810267.54171971674</v>
      </c>
      <c r="V169" s="2">
        <f t="shared" si="2"/>
        <v>10461.748280283296</v>
      </c>
    </row>
    <row r="170" spans="1:22" ht="15" customHeight="1">
      <c r="A170" s="2">
        <v>169</v>
      </c>
      <c r="B170" s="2" t="s">
        <v>68</v>
      </c>
      <c r="C170" s="2" t="s">
        <v>15</v>
      </c>
      <c r="D170" s="2" t="s">
        <v>16</v>
      </c>
      <c r="E170" s="2" t="s">
        <v>17</v>
      </c>
      <c r="F170" s="2">
        <v>739831.73</v>
      </c>
      <c r="G170" s="2">
        <v>62059.18</v>
      </c>
      <c r="H170" s="2">
        <v>9374</v>
      </c>
      <c r="I170" s="2">
        <v>0.13600000000000001</v>
      </c>
      <c r="J170" s="2">
        <v>25</v>
      </c>
      <c r="K170" s="2">
        <v>87.1</v>
      </c>
      <c r="L170" s="2">
        <v>12.55</v>
      </c>
      <c r="M170" s="2">
        <v>0</v>
      </c>
      <c r="N170" s="2">
        <v>4.9000000000000004</v>
      </c>
      <c r="O170" s="2">
        <v>0</v>
      </c>
      <c r="P170" s="2">
        <v>0</v>
      </c>
      <c r="Q170" s="2">
        <v>1</v>
      </c>
      <c r="R170" s="2">
        <v>0</v>
      </c>
      <c r="S170" s="2">
        <v>0</v>
      </c>
      <c r="T170" s="2">
        <v>0</v>
      </c>
      <c r="U170" s="2">
        <f>'Multiple Regression Outputs'!$B$14+G170*'Multiple Regression Outputs'!$B$15+H170*'Multiple Regression Outputs'!$B$16+I170*'Multiple Regression Outputs'!$B$17+J170*'Multiple Regression Outputs'!$B$18+K170*'Multiple Regression Outputs'!$B$19+L170*'Multiple Regression Outputs'!$B$20+M170*'Multiple Regression Outputs'!$B$21+N170*'Multiple Regression Outputs'!$B$22+O170*'Multiple Regression Outputs'!$B$23+P170*'Multiple Regression Outputs'!$B$24+Q170*'Multiple Regression Outputs'!$B$25+R170*'Multiple Regression Outputs'!$B$26+S170*'Multiple Regression Outputs'!$B$27+T170*'Multiple Regression Outputs'!$B$28</f>
        <v>739928.24312830239</v>
      </c>
      <c r="V170" s="2">
        <f t="shared" si="2"/>
        <v>-96.513128302409314</v>
      </c>
    </row>
    <row r="171" spans="1:22" ht="15" customHeight="1">
      <c r="A171" s="2">
        <v>170</v>
      </c>
      <c r="B171" s="2" t="s">
        <v>68</v>
      </c>
      <c r="C171" s="2" t="s">
        <v>18</v>
      </c>
      <c r="D171" s="2" t="s">
        <v>16</v>
      </c>
      <c r="E171" s="2" t="s">
        <v>17</v>
      </c>
      <c r="F171" s="2">
        <v>593637.14</v>
      </c>
      <c r="G171" s="2">
        <v>32834.480000000003</v>
      </c>
      <c r="H171" s="2">
        <v>7576</v>
      </c>
      <c r="I171" s="2">
        <v>9.9000000000000005E-2</v>
      </c>
      <c r="J171" s="2">
        <v>15</v>
      </c>
      <c r="K171" s="2">
        <v>84.1</v>
      </c>
      <c r="L171" s="2">
        <v>3.48</v>
      </c>
      <c r="M171" s="2">
        <v>0</v>
      </c>
      <c r="N171" s="2">
        <v>5</v>
      </c>
      <c r="O171" s="2">
        <v>0</v>
      </c>
      <c r="P171" s="2">
        <v>0</v>
      </c>
      <c r="Q171" s="2">
        <v>1</v>
      </c>
      <c r="R171" s="2">
        <v>0</v>
      </c>
      <c r="S171" s="2">
        <v>0</v>
      </c>
      <c r="T171" s="2">
        <v>0</v>
      </c>
      <c r="U171" s="2">
        <f>'Multiple Regression Outputs'!$B$14+G171*'Multiple Regression Outputs'!$B$15+H171*'Multiple Regression Outputs'!$B$16+I171*'Multiple Regression Outputs'!$B$17+J171*'Multiple Regression Outputs'!$B$18+K171*'Multiple Regression Outputs'!$B$19+L171*'Multiple Regression Outputs'!$B$20+M171*'Multiple Regression Outputs'!$B$21+N171*'Multiple Regression Outputs'!$B$22+O171*'Multiple Regression Outputs'!$B$23+P171*'Multiple Regression Outputs'!$B$24+Q171*'Multiple Regression Outputs'!$B$25+R171*'Multiple Regression Outputs'!$B$26+S171*'Multiple Regression Outputs'!$B$27+T171*'Multiple Regression Outputs'!$B$28</f>
        <v>645107.92654179537</v>
      </c>
      <c r="V171" s="2">
        <f t="shared" si="2"/>
        <v>-51470.786541795358</v>
      </c>
    </row>
    <row r="172" spans="1:22" ht="15" customHeight="1">
      <c r="A172" s="2">
        <v>171</v>
      </c>
      <c r="B172" s="2" t="s">
        <v>68</v>
      </c>
      <c r="C172" s="2" t="s">
        <v>19</v>
      </c>
      <c r="D172" s="2" t="s">
        <v>16</v>
      </c>
      <c r="E172" s="2" t="s">
        <v>17</v>
      </c>
      <c r="F172" s="2">
        <v>769702.76</v>
      </c>
      <c r="G172" s="2">
        <v>50825.08</v>
      </c>
      <c r="H172" s="2">
        <v>8949</v>
      </c>
      <c r="I172" s="2">
        <v>0.157</v>
      </c>
      <c r="J172" s="2">
        <v>21</v>
      </c>
      <c r="K172" s="2">
        <v>84.7</v>
      </c>
      <c r="L172" s="2">
        <v>7.73</v>
      </c>
      <c r="M172" s="2">
        <v>0</v>
      </c>
      <c r="N172" s="2">
        <v>4.9000000000000004</v>
      </c>
      <c r="O172" s="2">
        <v>0</v>
      </c>
      <c r="P172" s="2">
        <v>0</v>
      </c>
      <c r="Q172" s="2">
        <v>1</v>
      </c>
      <c r="R172" s="2">
        <v>0</v>
      </c>
      <c r="S172" s="2">
        <v>0</v>
      </c>
      <c r="T172" s="2">
        <v>0</v>
      </c>
      <c r="U172" s="2">
        <f>'Multiple Regression Outputs'!$B$14+G172*'Multiple Regression Outputs'!$B$15+H172*'Multiple Regression Outputs'!$B$16+I172*'Multiple Regression Outputs'!$B$17+J172*'Multiple Regression Outputs'!$B$18+K172*'Multiple Regression Outputs'!$B$19+L172*'Multiple Regression Outputs'!$B$20+M172*'Multiple Regression Outputs'!$B$21+N172*'Multiple Regression Outputs'!$B$22+O172*'Multiple Regression Outputs'!$B$23+P172*'Multiple Regression Outputs'!$B$24+Q172*'Multiple Regression Outputs'!$B$25+R172*'Multiple Regression Outputs'!$B$26+S172*'Multiple Regression Outputs'!$B$27+T172*'Multiple Regression Outputs'!$B$28</f>
        <v>709040.57532260532</v>
      </c>
      <c r="V172" s="2">
        <f t="shared" si="2"/>
        <v>60662.184677394689</v>
      </c>
    </row>
    <row r="173" spans="1:22" ht="15" customHeight="1">
      <c r="A173" s="2">
        <v>172</v>
      </c>
      <c r="B173" s="2" t="s">
        <v>68</v>
      </c>
      <c r="C173" s="2" t="s">
        <v>20</v>
      </c>
      <c r="D173" s="2" t="s">
        <v>16</v>
      </c>
      <c r="E173" s="2" t="s">
        <v>17</v>
      </c>
      <c r="F173" s="2">
        <v>679731.57</v>
      </c>
      <c r="G173" s="2">
        <v>36606.51</v>
      </c>
      <c r="H173" s="2">
        <v>7671</v>
      </c>
      <c r="I173" s="2">
        <v>0.11799999999999999</v>
      </c>
      <c r="J173" s="2">
        <v>18</v>
      </c>
      <c r="K173" s="2">
        <v>89.8</v>
      </c>
      <c r="L173" s="2">
        <v>0.25</v>
      </c>
      <c r="M173" s="2">
        <v>0</v>
      </c>
      <c r="N173" s="2">
        <v>4.4000000000000004</v>
      </c>
      <c r="O173" s="2">
        <v>0</v>
      </c>
      <c r="P173" s="2">
        <v>0</v>
      </c>
      <c r="Q173" s="2">
        <v>1</v>
      </c>
      <c r="R173" s="2">
        <v>0</v>
      </c>
      <c r="S173" s="2">
        <v>0</v>
      </c>
      <c r="T173" s="2">
        <v>0</v>
      </c>
      <c r="U173" s="2">
        <f>'Multiple Regression Outputs'!$B$14+G173*'Multiple Regression Outputs'!$B$15+H173*'Multiple Regression Outputs'!$B$16+I173*'Multiple Regression Outputs'!$B$17+J173*'Multiple Regression Outputs'!$B$18+K173*'Multiple Regression Outputs'!$B$19+L173*'Multiple Regression Outputs'!$B$20+M173*'Multiple Regression Outputs'!$B$21+N173*'Multiple Regression Outputs'!$B$22+O173*'Multiple Regression Outputs'!$B$23+P173*'Multiple Regression Outputs'!$B$24+Q173*'Multiple Regression Outputs'!$B$25+R173*'Multiple Regression Outputs'!$B$26+S173*'Multiple Regression Outputs'!$B$27+T173*'Multiple Regression Outputs'!$B$28</f>
        <v>683064.33967612137</v>
      </c>
      <c r="V173" s="2">
        <f t="shared" si="2"/>
        <v>-3332.7696761214174</v>
      </c>
    </row>
    <row r="174" spans="1:22" ht="15" customHeight="1">
      <c r="A174" s="2">
        <v>173</v>
      </c>
      <c r="B174" s="2" t="s">
        <v>69</v>
      </c>
      <c r="C174" s="2" t="s">
        <v>15</v>
      </c>
      <c r="D174" s="2" t="s">
        <v>16</v>
      </c>
      <c r="E174" s="2" t="s">
        <v>17</v>
      </c>
      <c r="F174" s="2">
        <v>780344.18</v>
      </c>
      <c r="G174" s="2">
        <v>65237.79</v>
      </c>
      <c r="H174" s="2">
        <v>8741</v>
      </c>
      <c r="I174" s="2">
        <v>0.157</v>
      </c>
      <c r="J174" s="2">
        <v>20</v>
      </c>
      <c r="K174" s="2">
        <v>94.4</v>
      </c>
      <c r="L174" s="2">
        <v>6.43</v>
      </c>
      <c r="M174" s="2">
        <v>0</v>
      </c>
      <c r="N174" s="2">
        <v>3.3</v>
      </c>
      <c r="O174" s="2">
        <v>0</v>
      </c>
      <c r="P174" s="2">
        <v>0</v>
      </c>
      <c r="Q174" s="2">
        <v>1</v>
      </c>
      <c r="R174" s="2">
        <v>0</v>
      </c>
      <c r="S174" s="2">
        <v>0</v>
      </c>
      <c r="T174" s="2">
        <v>0</v>
      </c>
      <c r="U174" s="2">
        <f>'Multiple Regression Outputs'!$B$14+G174*'Multiple Regression Outputs'!$B$15+H174*'Multiple Regression Outputs'!$B$16+I174*'Multiple Regression Outputs'!$B$17+J174*'Multiple Regression Outputs'!$B$18+K174*'Multiple Regression Outputs'!$B$19+L174*'Multiple Regression Outputs'!$B$20+M174*'Multiple Regression Outputs'!$B$21+N174*'Multiple Regression Outputs'!$B$22+O174*'Multiple Regression Outputs'!$B$23+P174*'Multiple Regression Outputs'!$B$24+Q174*'Multiple Regression Outputs'!$B$25+R174*'Multiple Regression Outputs'!$B$26+S174*'Multiple Regression Outputs'!$B$27+T174*'Multiple Regression Outputs'!$B$28</f>
        <v>731442.43807845761</v>
      </c>
      <c r="V174" s="2">
        <f t="shared" si="2"/>
        <v>48901.741921542445</v>
      </c>
    </row>
    <row r="175" spans="1:22" ht="15" customHeight="1">
      <c r="A175" s="2">
        <v>174</v>
      </c>
      <c r="B175" s="2" t="s">
        <v>69</v>
      </c>
      <c r="C175" s="2" t="s">
        <v>18</v>
      </c>
      <c r="D175" s="2" t="s">
        <v>16</v>
      </c>
      <c r="E175" s="2" t="s">
        <v>17</v>
      </c>
      <c r="F175" s="2">
        <v>721364.11</v>
      </c>
      <c r="G175" s="2">
        <v>43645.98</v>
      </c>
      <c r="H175" s="2">
        <v>9480</v>
      </c>
      <c r="I175" s="2">
        <v>0.109</v>
      </c>
      <c r="J175" s="2">
        <v>22</v>
      </c>
      <c r="K175" s="2">
        <v>89</v>
      </c>
      <c r="L175" s="2">
        <v>2.11</v>
      </c>
      <c r="M175" s="2">
        <v>0</v>
      </c>
      <c r="N175" s="2">
        <v>3.1</v>
      </c>
      <c r="O175" s="2">
        <v>0</v>
      </c>
      <c r="P175" s="2">
        <v>0</v>
      </c>
      <c r="Q175" s="2">
        <v>1</v>
      </c>
      <c r="R175" s="2">
        <v>0</v>
      </c>
      <c r="S175" s="2">
        <v>0</v>
      </c>
      <c r="T175" s="2">
        <v>0</v>
      </c>
      <c r="U175" s="2">
        <f>'Multiple Regression Outputs'!$B$14+G175*'Multiple Regression Outputs'!$B$15+H175*'Multiple Regression Outputs'!$B$16+I175*'Multiple Regression Outputs'!$B$17+J175*'Multiple Regression Outputs'!$B$18+K175*'Multiple Regression Outputs'!$B$19+L175*'Multiple Regression Outputs'!$B$20+M175*'Multiple Regression Outputs'!$B$21+N175*'Multiple Regression Outputs'!$B$22+O175*'Multiple Regression Outputs'!$B$23+P175*'Multiple Regression Outputs'!$B$24+Q175*'Multiple Regression Outputs'!$B$25+R175*'Multiple Regression Outputs'!$B$26+S175*'Multiple Regression Outputs'!$B$27+T175*'Multiple Regression Outputs'!$B$28</f>
        <v>730330.60777374147</v>
      </c>
      <c r="V175" s="2">
        <f t="shared" si="2"/>
        <v>-8966.4977737414883</v>
      </c>
    </row>
    <row r="176" spans="1:22" ht="15" customHeight="1">
      <c r="A176" s="2">
        <v>175</v>
      </c>
      <c r="B176" s="2" t="s">
        <v>69</v>
      </c>
      <c r="C176" s="2" t="s">
        <v>19</v>
      </c>
      <c r="D176" s="2" t="s">
        <v>16</v>
      </c>
      <c r="E176" s="2" t="s">
        <v>17</v>
      </c>
      <c r="F176" s="2">
        <v>758138.29</v>
      </c>
      <c r="G176" s="2">
        <v>68040.149999999994</v>
      </c>
      <c r="H176" s="2">
        <v>9826</v>
      </c>
      <c r="I176" s="2">
        <v>0.125</v>
      </c>
      <c r="J176" s="2">
        <v>20</v>
      </c>
      <c r="K176" s="2">
        <v>83.9</v>
      </c>
      <c r="L176" s="2">
        <v>9.1199999999999992</v>
      </c>
      <c r="M176" s="2">
        <v>0</v>
      </c>
      <c r="N176" s="2">
        <v>3.6</v>
      </c>
      <c r="O176" s="2">
        <v>0</v>
      </c>
      <c r="P176" s="2">
        <v>0</v>
      </c>
      <c r="Q176" s="2">
        <v>1</v>
      </c>
      <c r="R176" s="2">
        <v>0</v>
      </c>
      <c r="S176" s="2">
        <v>0</v>
      </c>
      <c r="T176" s="2">
        <v>0</v>
      </c>
      <c r="U176" s="2">
        <f>'Multiple Regression Outputs'!$B$14+G176*'Multiple Regression Outputs'!$B$15+H176*'Multiple Regression Outputs'!$B$16+I176*'Multiple Regression Outputs'!$B$17+J176*'Multiple Regression Outputs'!$B$18+K176*'Multiple Regression Outputs'!$B$19+L176*'Multiple Regression Outputs'!$B$20+M176*'Multiple Regression Outputs'!$B$21+N176*'Multiple Regression Outputs'!$B$22+O176*'Multiple Regression Outputs'!$B$23+P176*'Multiple Regression Outputs'!$B$24+Q176*'Multiple Regression Outputs'!$B$25+R176*'Multiple Regression Outputs'!$B$26+S176*'Multiple Regression Outputs'!$B$27+T176*'Multiple Regression Outputs'!$B$28</f>
        <v>728163.76553994429</v>
      </c>
      <c r="V176" s="2">
        <f t="shared" si="2"/>
        <v>29974.524460055749</v>
      </c>
    </row>
    <row r="177" spans="1:22" ht="15" customHeight="1">
      <c r="A177" s="2">
        <v>176</v>
      </c>
      <c r="B177" s="2" t="s">
        <v>69</v>
      </c>
      <c r="C177" s="2" t="s">
        <v>20</v>
      </c>
      <c r="D177" s="2" t="s">
        <v>16</v>
      </c>
      <c r="E177" s="2" t="s">
        <v>17</v>
      </c>
      <c r="F177" s="2">
        <v>804264</v>
      </c>
      <c r="G177" s="2">
        <v>63043.94</v>
      </c>
      <c r="H177" s="2">
        <v>10402</v>
      </c>
      <c r="I177" s="2">
        <v>0.159</v>
      </c>
      <c r="J177" s="2">
        <v>23</v>
      </c>
      <c r="K177" s="2">
        <v>93.9</v>
      </c>
      <c r="L177" s="2">
        <v>2.71</v>
      </c>
      <c r="M177" s="2">
        <v>0</v>
      </c>
      <c r="N177" s="2">
        <v>3.1</v>
      </c>
      <c r="O177" s="2">
        <v>0</v>
      </c>
      <c r="P177" s="2">
        <v>0</v>
      </c>
      <c r="Q177" s="2">
        <v>1</v>
      </c>
      <c r="R177" s="2">
        <v>0</v>
      </c>
      <c r="S177" s="2">
        <v>0</v>
      </c>
      <c r="T177" s="2">
        <v>0</v>
      </c>
      <c r="U177" s="2">
        <f>'Multiple Regression Outputs'!$B$14+G177*'Multiple Regression Outputs'!$B$15+H177*'Multiple Regression Outputs'!$B$16+I177*'Multiple Regression Outputs'!$B$17+J177*'Multiple Regression Outputs'!$B$18+K177*'Multiple Regression Outputs'!$B$19+L177*'Multiple Regression Outputs'!$B$20+M177*'Multiple Regression Outputs'!$B$21+N177*'Multiple Regression Outputs'!$B$22+O177*'Multiple Regression Outputs'!$B$23+P177*'Multiple Regression Outputs'!$B$24+Q177*'Multiple Regression Outputs'!$B$25+R177*'Multiple Regression Outputs'!$B$26+S177*'Multiple Regression Outputs'!$B$27+T177*'Multiple Regression Outputs'!$B$28</f>
        <v>793392.93126008683</v>
      </c>
      <c r="V177" s="2">
        <f t="shared" si="2"/>
        <v>10871.068739913171</v>
      </c>
    </row>
    <row r="178" spans="1:22" ht="15" customHeight="1">
      <c r="A178" s="2">
        <v>177</v>
      </c>
      <c r="B178" s="2" t="s">
        <v>70</v>
      </c>
      <c r="C178" s="2" t="s">
        <v>15</v>
      </c>
      <c r="D178" s="2" t="s">
        <v>31</v>
      </c>
      <c r="E178" s="2" t="s">
        <v>25</v>
      </c>
      <c r="F178" s="2">
        <v>887537.75</v>
      </c>
      <c r="G178" s="2">
        <v>67494.09</v>
      </c>
      <c r="H178" s="2">
        <v>12361</v>
      </c>
      <c r="I178" s="2">
        <v>4.5999999999999999E-2</v>
      </c>
      <c r="J178" s="2">
        <v>24</v>
      </c>
      <c r="K178" s="2">
        <v>76.599999999999994</v>
      </c>
      <c r="L178" s="2">
        <v>3.65</v>
      </c>
      <c r="M178" s="2">
        <v>1</v>
      </c>
      <c r="N178" s="2">
        <v>3.7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1</v>
      </c>
      <c r="U178" s="2">
        <f>'Multiple Regression Outputs'!$B$14+G178*'Multiple Regression Outputs'!$B$15+H178*'Multiple Regression Outputs'!$B$16+I178*'Multiple Regression Outputs'!$B$17+J178*'Multiple Regression Outputs'!$B$18+K178*'Multiple Regression Outputs'!$B$19+L178*'Multiple Regression Outputs'!$B$20+M178*'Multiple Regression Outputs'!$B$21+N178*'Multiple Regression Outputs'!$B$22+O178*'Multiple Regression Outputs'!$B$23+P178*'Multiple Regression Outputs'!$B$24+Q178*'Multiple Regression Outputs'!$B$25+R178*'Multiple Regression Outputs'!$B$26+S178*'Multiple Regression Outputs'!$B$27+T178*'Multiple Regression Outputs'!$B$28</f>
        <v>896939.19366052886</v>
      </c>
      <c r="V178" s="2">
        <f t="shared" si="2"/>
        <v>-9401.4436605288647</v>
      </c>
    </row>
    <row r="179" spans="1:22" ht="15" customHeight="1">
      <c r="A179" s="2">
        <v>178</v>
      </c>
      <c r="B179" s="2" t="s">
        <v>70</v>
      </c>
      <c r="C179" s="2" t="s">
        <v>18</v>
      </c>
      <c r="D179" s="2" t="s">
        <v>31</v>
      </c>
      <c r="E179" s="2" t="s">
        <v>25</v>
      </c>
      <c r="F179" s="2">
        <v>783582</v>
      </c>
      <c r="G179" s="2">
        <v>29389.32</v>
      </c>
      <c r="H179" s="2">
        <v>7925</v>
      </c>
      <c r="I179" s="2">
        <v>0.17699999999999999</v>
      </c>
      <c r="J179" s="2">
        <v>21</v>
      </c>
      <c r="K179" s="2">
        <v>90.9</v>
      </c>
      <c r="L179" s="2">
        <v>7.86</v>
      </c>
      <c r="M179" s="2">
        <v>0</v>
      </c>
      <c r="N179" s="2">
        <v>4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f>'Multiple Regression Outputs'!$B$14+G179*'Multiple Regression Outputs'!$B$15+H179*'Multiple Regression Outputs'!$B$16+I179*'Multiple Regression Outputs'!$B$17+J179*'Multiple Regression Outputs'!$B$18+K179*'Multiple Regression Outputs'!$B$19+L179*'Multiple Regression Outputs'!$B$20+M179*'Multiple Regression Outputs'!$B$21+N179*'Multiple Regression Outputs'!$B$22+O179*'Multiple Regression Outputs'!$B$23+P179*'Multiple Regression Outputs'!$B$24+Q179*'Multiple Regression Outputs'!$B$25+R179*'Multiple Regression Outputs'!$B$26+S179*'Multiple Regression Outputs'!$B$27+T179*'Multiple Regression Outputs'!$B$28</f>
        <v>731554.46045444068</v>
      </c>
      <c r="V179" s="2">
        <f t="shared" si="2"/>
        <v>52027.539545559324</v>
      </c>
    </row>
    <row r="180" spans="1:22" ht="15" customHeight="1">
      <c r="A180" s="2">
        <v>179</v>
      </c>
      <c r="B180" s="2" t="s">
        <v>70</v>
      </c>
      <c r="C180" s="2" t="s">
        <v>19</v>
      </c>
      <c r="D180" s="2" t="s">
        <v>31</v>
      </c>
      <c r="E180" s="2" t="s">
        <v>25</v>
      </c>
      <c r="F180" s="2">
        <v>781955.52</v>
      </c>
      <c r="G180" s="2">
        <v>40535.089999999997</v>
      </c>
      <c r="H180" s="2">
        <v>8870</v>
      </c>
      <c r="I180" s="2">
        <v>4.1000000000000002E-2</v>
      </c>
      <c r="J180" s="2">
        <v>21</v>
      </c>
      <c r="K180" s="2">
        <v>86.6</v>
      </c>
      <c r="L180" s="2">
        <v>0.3</v>
      </c>
      <c r="M180" s="2">
        <v>0</v>
      </c>
      <c r="N180" s="2">
        <v>4.0999999999999996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f>'Multiple Regression Outputs'!$B$14+G180*'Multiple Regression Outputs'!$B$15+H180*'Multiple Regression Outputs'!$B$16+I180*'Multiple Regression Outputs'!$B$17+J180*'Multiple Regression Outputs'!$B$18+K180*'Multiple Regression Outputs'!$B$19+L180*'Multiple Regression Outputs'!$B$20+M180*'Multiple Regression Outputs'!$B$21+N180*'Multiple Regression Outputs'!$B$22+O180*'Multiple Regression Outputs'!$B$23+P180*'Multiple Regression Outputs'!$B$24+Q180*'Multiple Regression Outputs'!$B$25+R180*'Multiple Regression Outputs'!$B$26+S180*'Multiple Regression Outputs'!$B$27+T180*'Multiple Regression Outputs'!$B$28</f>
        <v>790557.35519076267</v>
      </c>
      <c r="V180" s="2">
        <f t="shared" si="2"/>
        <v>-8601.8351907626493</v>
      </c>
    </row>
    <row r="181" spans="1:22" ht="15" customHeight="1">
      <c r="A181" s="2">
        <v>180</v>
      </c>
      <c r="B181" s="2" t="s">
        <v>70</v>
      </c>
      <c r="C181" s="2" t="s">
        <v>20</v>
      </c>
      <c r="D181" s="2" t="s">
        <v>31</v>
      </c>
      <c r="E181" s="2" t="s">
        <v>25</v>
      </c>
      <c r="F181" s="2">
        <v>898031.04</v>
      </c>
      <c r="G181" s="2">
        <v>74881.56</v>
      </c>
      <c r="H181" s="2">
        <v>9999</v>
      </c>
      <c r="I181" s="2">
        <v>1.2999999999999999E-2</v>
      </c>
      <c r="J181" s="2">
        <v>20</v>
      </c>
      <c r="K181" s="2">
        <v>89.6</v>
      </c>
      <c r="L181" s="2">
        <v>8.44</v>
      </c>
      <c r="M181" s="2">
        <v>0</v>
      </c>
      <c r="N181" s="2">
        <v>4.0999999999999996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f>'Multiple Regression Outputs'!$B$14+G181*'Multiple Regression Outputs'!$B$15+H181*'Multiple Regression Outputs'!$B$16+I181*'Multiple Regression Outputs'!$B$17+J181*'Multiple Regression Outputs'!$B$18+K181*'Multiple Regression Outputs'!$B$19+L181*'Multiple Regression Outputs'!$B$20+M181*'Multiple Regression Outputs'!$B$21+N181*'Multiple Regression Outputs'!$B$22+O181*'Multiple Regression Outputs'!$B$23+P181*'Multiple Regression Outputs'!$B$24+Q181*'Multiple Regression Outputs'!$B$25+R181*'Multiple Regression Outputs'!$B$26+S181*'Multiple Regression Outputs'!$B$27+T181*'Multiple Regression Outputs'!$B$28</f>
        <v>841823.5332624322</v>
      </c>
      <c r="V181" s="2">
        <f t="shared" si="2"/>
        <v>56207.506737567834</v>
      </c>
    </row>
    <row r="182" spans="1:22" ht="15" customHeight="1">
      <c r="A182" s="2">
        <v>181</v>
      </c>
      <c r="B182" s="2" t="s">
        <v>71</v>
      </c>
      <c r="C182" s="2" t="s">
        <v>15</v>
      </c>
      <c r="D182" s="2" t="s">
        <v>31</v>
      </c>
      <c r="E182" s="2" t="s">
        <v>17</v>
      </c>
      <c r="F182" s="2">
        <v>855341.28</v>
      </c>
      <c r="G182" s="2">
        <v>68491.11</v>
      </c>
      <c r="H182" s="2">
        <v>11154</v>
      </c>
      <c r="I182" s="2">
        <v>1E-3</v>
      </c>
      <c r="J182" s="2">
        <v>24</v>
      </c>
      <c r="K182" s="2">
        <v>89.4</v>
      </c>
      <c r="L182" s="2">
        <v>5.27</v>
      </c>
      <c r="M182" s="2">
        <v>1</v>
      </c>
      <c r="N182" s="2">
        <v>3.9</v>
      </c>
      <c r="O182" s="2">
        <v>0</v>
      </c>
      <c r="P182" s="2">
        <v>0</v>
      </c>
      <c r="Q182" s="2">
        <v>1</v>
      </c>
      <c r="R182" s="2">
        <v>0</v>
      </c>
      <c r="S182" s="2">
        <v>0</v>
      </c>
      <c r="T182" s="2">
        <v>1</v>
      </c>
      <c r="U182" s="2">
        <f>'Multiple Regression Outputs'!$B$14+G182*'Multiple Regression Outputs'!$B$15+H182*'Multiple Regression Outputs'!$B$16+I182*'Multiple Regression Outputs'!$B$17+J182*'Multiple Regression Outputs'!$B$18+K182*'Multiple Regression Outputs'!$B$19+L182*'Multiple Regression Outputs'!$B$20+M182*'Multiple Regression Outputs'!$B$21+N182*'Multiple Regression Outputs'!$B$22+O182*'Multiple Regression Outputs'!$B$23+P182*'Multiple Regression Outputs'!$B$24+Q182*'Multiple Regression Outputs'!$B$25+R182*'Multiple Regression Outputs'!$B$26+S182*'Multiple Regression Outputs'!$B$27+T182*'Multiple Regression Outputs'!$B$28</f>
        <v>858440.02532400785</v>
      </c>
      <c r="V182" s="2">
        <f t="shared" si="2"/>
        <v>-3098.7453240078175</v>
      </c>
    </row>
    <row r="183" spans="1:22" ht="15" customHeight="1">
      <c r="A183" s="2">
        <v>182</v>
      </c>
      <c r="B183" s="2" t="s">
        <v>71</v>
      </c>
      <c r="C183" s="2" t="s">
        <v>18</v>
      </c>
      <c r="D183" s="2" t="s">
        <v>31</v>
      </c>
      <c r="E183" s="2" t="s">
        <v>17</v>
      </c>
      <c r="F183" s="2">
        <v>751393.88</v>
      </c>
      <c r="G183" s="2">
        <v>45209.25</v>
      </c>
      <c r="H183" s="2">
        <v>9287</v>
      </c>
      <c r="I183" s="2">
        <v>0.14099999999999999</v>
      </c>
      <c r="J183" s="2">
        <v>22</v>
      </c>
      <c r="K183" s="2">
        <v>86.4</v>
      </c>
      <c r="L183" s="2">
        <v>13.22</v>
      </c>
      <c r="M183" s="2">
        <v>0</v>
      </c>
      <c r="N183" s="2">
        <v>3.6</v>
      </c>
      <c r="O183" s="2">
        <v>0</v>
      </c>
      <c r="P183" s="2">
        <v>0</v>
      </c>
      <c r="Q183" s="2">
        <v>1</v>
      </c>
      <c r="R183" s="2">
        <v>0</v>
      </c>
      <c r="S183" s="2">
        <v>0</v>
      </c>
      <c r="T183" s="2">
        <v>1</v>
      </c>
      <c r="U183" s="2">
        <f>'Multiple Regression Outputs'!$B$14+G183*'Multiple Regression Outputs'!$B$15+H183*'Multiple Regression Outputs'!$B$16+I183*'Multiple Regression Outputs'!$B$17+J183*'Multiple Regression Outputs'!$B$18+K183*'Multiple Regression Outputs'!$B$19+L183*'Multiple Regression Outputs'!$B$20+M183*'Multiple Regression Outputs'!$B$21+N183*'Multiple Regression Outputs'!$B$22+O183*'Multiple Regression Outputs'!$B$23+P183*'Multiple Regression Outputs'!$B$24+Q183*'Multiple Regression Outputs'!$B$25+R183*'Multiple Regression Outputs'!$B$26+S183*'Multiple Regression Outputs'!$B$27+T183*'Multiple Regression Outputs'!$B$28</f>
        <v>711013.41025978106</v>
      </c>
      <c r="V183" s="2">
        <f t="shared" si="2"/>
        <v>40380.469740218949</v>
      </c>
    </row>
    <row r="184" spans="1:22" ht="15" customHeight="1">
      <c r="A184" s="2">
        <v>183</v>
      </c>
      <c r="B184" s="2" t="s">
        <v>71</v>
      </c>
      <c r="C184" s="2" t="s">
        <v>19</v>
      </c>
      <c r="D184" s="2" t="s">
        <v>31</v>
      </c>
      <c r="E184" s="2" t="s">
        <v>17</v>
      </c>
      <c r="F184" s="2">
        <v>761077.08</v>
      </c>
      <c r="G184" s="2">
        <v>63010.23</v>
      </c>
      <c r="H184" s="2">
        <v>9812</v>
      </c>
      <c r="I184" s="2">
        <v>0.113</v>
      </c>
      <c r="J184" s="2">
        <v>24</v>
      </c>
      <c r="K184" s="2">
        <v>76.8</v>
      </c>
      <c r="L184" s="2">
        <v>1.02</v>
      </c>
      <c r="M184" s="2">
        <v>1</v>
      </c>
      <c r="N184" s="2">
        <v>3.8</v>
      </c>
      <c r="O184" s="2">
        <v>0</v>
      </c>
      <c r="P184" s="2">
        <v>0</v>
      </c>
      <c r="Q184" s="2">
        <v>1</v>
      </c>
      <c r="R184" s="2">
        <v>0</v>
      </c>
      <c r="S184" s="2">
        <v>0</v>
      </c>
      <c r="T184" s="2">
        <v>1</v>
      </c>
      <c r="U184" s="2">
        <f>'Multiple Regression Outputs'!$B$14+G184*'Multiple Regression Outputs'!$B$15+H184*'Multiple Regression Outputs'!$B$16+I184*'Multiple Regression Outputs'!$B$17+J184*'Multiple Regression Outputs'!$B$18+K184*'Multiple Regression Outputs'!$B$19+L184*'Multiple Regression Outputs'!$B$20+M184*'Multiple Regression Outputs'!$B$21+N184*'Multiple Regression Outputs'!$B$22+O184*'Multiple Regression Outputs'!$B$23+P184*'Multiple Regression Outputs'!$B$24+Q184*'Multiple Regression Outputs'!$B$25+R184*'Multiple Regression Outputs'!$B$26+S184*'Multiple Regression Outputs'!$B$27+T184*'Multiple Regression Outputs'!$B$28</f>
        <v>785281.309229412</v>
      </c>
      <c r="V184" s="2">
        <f t="shared" si="2"/>
        <v>-24204.229229412042</v>
      </c>
    </row>
    <row r="185" spans="1:22" ht="15" customHeight="1">
      <c r="A185" s="2">
        <v>184</v>
      </c>
      <c r="B185" s="2" t="s">
        <v>71</v>
      </c>
      <c r="C185" s="2" t="s">
        <v>20</v>
      </c>
      <c r="D185" s="2" t="s">
        <v>31</v>
      </c>
      <c r="E185" s="2" t="s">
        <v>17</v>
      </c>
      <c r="F185" s="2">
        <v>819660.59</v>
      </c>
      <c r="G185" s="2">
        <v>57948.88</v>
      </c>
      <c r="H185" s="2">
        <v>10741</v>
      </c>
      <c r="I185" s="2">
        <v>7.0000000000000007E-2</v>
      </c>
      <c r="J185" s="2">
        <v>25</v>
      </c>
      <c r="K185" s="2">
        <v>90.1</v>
      </c>
      <c r="L185" s="2">
        <v>4.03</v>
      </c>
      <c r="M185" s="2">
        <v>0</v>
      </c>
      <c r="N185" s="2">
        <v>3.1</v>
      </c>
      <c r="O185" s="2">
        <v>0</v>
      </c>
      <c r="P185" s="2">
        <v>0</v>
      </c>
      <c r="Q185" s="2">
        <v>1</v>
      </c>
      <c r="R185" s="2">
        <v>0</v>
      </c>
      <c r="S185" s="2">
        <v>0</v>
      </c>
      <c r="T185" s="2">
        <v>1</v>
      </c>
      <c r="U185" s="2">
        <f>'Multiple Regression Outputs'!$B$14+G185*'Multiple Regression Outputs'!$B$15+H185*'Multiple Regression Outputs'!$B$16+I185*'Multiple Regression Outputs'!$B$17+J185*'Multiple Regression Outputs'!$B$18+K185*'Multiple Regression Outputs'!$B$19+L185*'Multiple Regression Outputs'!$B$20+M185*'Multiple Regression Outputs'!$B$21+N185*'Multiple Regression Outputs'!$B$22+O185*'Multiple Regression Outputs'!$B$23+P185*'Multiple Regression Outputs'!$B$24+Q185*'Multiple Regression Outputs'!$B$25+R185*'Multiple Regression Outputs'!$B$26+S185*'Multiple Regression Outputs'!$B$27+T185*'Multiple Regression Outputs'!$B$28</f>
        <v>816299.39899427991</v>
      </c>
      <c r="V185" s="2">
        <f t="shared" si="2"/>
        <v>3361.1910057200585</v>
      </c>
    </row>
    <row r="186" spans="1:22" ht="15" customHeight="1">
      <c r="A186" s="2">
        <v>185</v>
      </c>
      <c r="B186" s="2" t="s">
        <v>72</v>
      </c>
      <c r="C186" s="2" t="s">
        <v>15</v>
      </c>
      <c r="D186" s="2" t="s">
        <v>24</v>
      </c>
      <c r="E186" s="2" t="s">
        <v>22</v>
      </c>
      <c r="F186" s="2">
        <v>681855.56</v>
      </c>
      <c r="G186" s="2">
        <v>71941.62</v>
      </c>
      <c r="H186" s="2">
        <v>6084</v>
      </c>
      <c r="I186" s="2">
        <v>7.1999999999999995E-2</v>
      </c>
      <c r="J186" s="2">
        <v>13</v>
      </c>
      <c r="K186" s="2">
        <v>93.7</v>
      </c>
      <c r="L186" s="2">
        <v>2.34</v>
      </c>
      <c r="M186" s="2">
        <v>0</v>
      </c>
      <c r="N186" s="2">
        <v>4.4000000000000004</v>
      </c>
      <c r="O186" s="2">
        <v>1</v>
      </c>
      <c r="P186" s="2">
        <v>0</v>
      </c>
      <c r="Q186" s="2">
        <v>0</v>
      </c>
      <c r="R186" s="2">
        <v>1</v>
      </c>
      <c r="S186" s="2">
        <v>0</v>
      </c>
      <c r="T186" s="2">
        <v>0</v>
      </c>
      <c r="U186" s="2">
        <f>'Multiple Regression Outputs'!$B$14+G186*'Multiple Regression Outputs'!$B$15+H186*'Multiple Regression Outputs'!$B$16+I186*'Multiple Regression Outputs'!$B$17+J186*'Multiple Regression Outputs'!$B$18+K186*'Multiple Regression Outputs'!$B$19+L186*'Multiple Regression Outputs'!$B$20+M186*'Multiple Regression Outputs'!$B$21+N186*'Multiple Regression Outputs'!$B$22+O186*'Multiple Regression Outputs'!$B$23+P186*'Multiple Regression Outputs'!$B$24+Q186*'Multiple Regression Outputs'!$B$25+R186*'Multiple Regression Outputs'!$B$26+S186*'Multiple Regression Outputs'!$B$27+T186*'Multiple Regression Outputs'!$B$28</f>
        <v>701714.89114850527</v>
      </c>
      <c r="V186" s="2">
        <f t="shared" si="2"/>
        <v>-19859.331148505211</v>
      </c>
    </row>
    <row r="187" spans="1:22" ht="15" customHeight="1">
      <c r="A187" s="2">
        <v>186</v>
      </c>
      <c r="B187" s="2" t="s">
        <v>72</v>
      </c>
      <c r="C187" s="2" t="s">
        <v>18</v>
      </c>
      <c r="D187" s="2" t="s">
        <v>24</v>
      </c>
      <c r="E187" s="2" t="s">
        <v>22</v>
      </c>
      <c r="F187" s="2">
        <v>678311.17</v>
      </c>
      <c r="G187" s="2">
        <v>57147.88</v>
      </c>
      <c r="H187" s="2">
        <v>5252</v>
      </c>
      <c r="I187" s="2">
        <v>0.161</v>
      </c>
      <c r="J187" s="2">
        <v>15</v>
      </c>
      <c r="K187" s="2">
        <v>95.5</v>
      </c>
      <c r="L187" s="2">
        <v>8.51</v>
      </c>
      <c r="M187" s="2">
        <v>0</v>
      </c>
      <c r="N187" s="2">
        <v>4.4000000000000004</v>
      </c>
      <c r="O187" s="2">
        <v>1</v>
      </c>
      <c r="P187" s="2">
        <v>0</v>
      </c>
      <c r="Q187" s="2">
        <v>0</v>
      </c>
      <c r="R187" s="2">
        <v>1</v>
      </c>
      <c r="S187" s="2">
        <v>0</v>
      </c>
      <c r="T187" s="2">
        <v>0</v>
      </c>
      <c r="U187" s="2">
        <f>'Multiple Regression Outputs'!$B$14+G187*'Multiple Regression Outputs'!$B$15+H187*'Multiple Regression Outputs'!$B$16+I187*'Multiple Regression Outputs'!$B$17+J187*'Multiple Regression Outputs'!$B$18+K187*'Multiple Regression Outputs'!$B$19+L187*'Multiple Regression Outputs'!$B$20+M187*'Multiple Regression Outputs'!$B$21+N187*'Multiple Regression Outputs'!$B$22+O187*'Multiple Regression Outputs'!$B$23+P187*'Multiple Regression Outputs'!$B$24+Q187*'Multiple Regression Outputs'!$B$25+R187*'Multiple Regression Outputs'!$B$26+S187*'Multiple Regression Outputs'!$B$27+T187*'Multiple Regression Outputs'!$B$28</f>
        <v>648716.82031933742</v>
      </c>
      <c r="V187" s="2">
        <f t="shared" si="2"/>
        <v>29594.349680662621</v>
      </c>
    </row>
    <row r="188" spans="1:22" ht="15" customHeight="1">
      <c r="A188" s="2">
        <v>187</v>
      </c>
      <c r="B188" s="2" t="s">
        <v>72</v>
      </c>
      <c r="C188" s="2" t="s">
        <v>19</v>
      </c>
      <c r="D188" s="2" t="s">
        <v>24</v>
      </c>
      <c r="E188" s="2" t="s">
        <v>22</v>
      </c>
      <c r="F188" s="2">
        <v>765906.95</v>
      </c>
      <c r="G188" s="2">
        <v>48031.74</v>
      </c>
      <c r="H188" s="2">
        <v>6516</v>
      </c>
      <c r="I188" s="2">
        <v>6.7000000000000004E-2</v>
      </c>
      <c r="J188" s="2">
        <v>14</v>
      </c>
      <c r="K188" s="2">
        <v>99</v>
      </c>
      <c r="L188" s="2">
        <v>0.48</v>
      </c>
      <c r="M188" s="2">
        <v>1</v>
      </c>
      <c r="N188" s="2">
        <v>4.3</v>
      </c>
      <c r="O188" s="2">
        <v>1</v>
      </c>
      <c r="P188" s="2">
        <v>0</v>
      </c>
      <c r="Q188" s="2">
        <v>0</v>
      </c>
      <c r="R188" s="2">
        <v>1</v>
      </c>
      <c r="S188" s="2">
        <v>0</v>
      </c>
      <c r="T188" s="2">
        <v>0</v>
      </c>
      <c r="U188" s="2">
        <f>'Multiple Regression Outputs'!$B$14+G188*'Multiple Regression Outputs'!$B$15+H188*'Multiple Regression Outputs'!$B$16+I188*'Multiple Regression Outputs'!$B$17+J188*'Multiple Regression Outputs'!$B$18+K188*'Multiple Regression Outputs'!$B$19+L188*'Multiple Regression Outputs'!$B$20+M188*'Multiple Regression Outputs'!$B$21+N188*'Multiple Regression Outputs'!$B$22+O188*'Multiple Regression Outputs'!$B$23+P188*'Multiple Regression Outputs'!$B$24+Q188*'Multiple Regression Outputs'!$B$25+R188*'Multiple Regression Outputs'!$B$26+S188*'Multiple Regression Outputs'!$B$27+T188*'Multiple Regression Outputs'!$B$28</f>
        <v>724840.43354078254</v>
      </c>
      <c r="V188" s="2">
        <f t="shared" si="2"/>
        <v>41066.516459217411</v>
      </c>
    </row>
    <row r="189" spans="1:22" ht="15" customHeight="1">
      <c r="A189" s="2">
        <v>188</v>
      </c>
      <c r="B189" s="2" t="s">
        <v>72</v>
      </c>
      <c r="C189" s="2" t="s">
        <v>20</v>
      </c>
      <c r="D189" s="2" t="s">
        <v>24</v>
      </c>
      <c r="E189" s="2" t="s">
        <v>22</v>
      </c>
      <c r="F189" s="2">
        <v>712546.38</v>
      </c>
      <c r="G189" s="2">
        <v>72784.800000000003</v>
      </c>
      <c r="H189" s="2">
        <v>7932</v>
      </c>
      <c r="I189" s="2">
        <v>9.4E-2</v>
      </c>
      <c r="J189" s="2">
        <v>20</v>
      </c>
      <c r="K189" s="2">
        <v>74.900000000000006</v>
      </c>
      <c r="L189" s="2">
        <v>13.62</v>
      </c>
      <c r="M189" s="2">
        <v>0</v>
      </c>
      <c r="N189" s="2">
        <v>4.2</v>
      </c>
      <c r="O189" s="2">
        <v>1</v>
      </c>
      <c r="P189" s="2">
        <v>0</v>
      </c>
      <c r="Q189" s="2">
        <v>0</v>
      </c>
      <c r="R189" s="2">
        <v>1</v>
      </c>
      <c r="S189" s="2">
        <v>0</v>
      </c>
      <c r="T189" s="2">
        <v>0</v>
      </c>
      <c r="U189" s="2">
        <f>'Multiple Regression Outputs'!$B$14+G189*'Multiple Regression Outputs'!$B$15+H189*'Multiple Regression Outputs'!$B$16+I189*'Multiple Regression Outputs'!$B$17+J189*'Multiple Regression Outputs'!$B$18+K189*'Multiple Regression Outputs'!$B$19+L189*'Multiple Regression Outputs'!$B$20+M189*'Multiple Regression Outputs'!$B$21+N189*'Multiple Regression Outputs'!$B$22+O189*'Multiple Regression Outputs'!$B$23+P189*'Multiple Regression Outputs'!$B$24+Q189*'Multiple Regression Outputs'!$B$25+R189*'Multiple Regression Outputs'!$B$26+S189*'Multiple Regression Outputs'!$B$27+T189*'Multiple Regression Outputs'!$B$28</f>
        <v>678050.50868536776</v>
      </c>
      <c r="V189" s="2">
        <f t="shared" si="2"/>
        <v>34495.871314632241</v>
      </c>
    </row>
    <row r="190" spans="1:22" ht="15" customHeight="1">
      <c r="A190" s="2">
        <v>189</v>
      </c>
      <c r="B190" s="2" t="s">
        <v>73</v>
      </c>
      <c r="C190" s="2" t="s">
        <v>15</v>
      </c>
      <c r="D190" s="2" t="s">
        <v>16</v>
      </c>
      <c r="E190" s="2" t="s">
        <v>22</v>
      </c>
      <c r="F190" s="2">
        <v>625993.82999999996</v>
      </c>
      <c r="G190" s="2">
        <v>71641.899999999994</v>
      </c>
      <c r="H190" s="2">
        <v>3506</v>
      </c>
      <c r="I190" s="2">
        <v>0</v>
      </c>
      <c r="J190" s="2">
        <v>11</v>
      </c>
      <c r="K190" s="2">
        <v>86.4</v>
      </c>
      <c r="L190" s="2">
        <v>7.77</v>
      </c>
      <c r="M190" s="2">
        <v>0</v>
      </c>
      <c r="N190" s="2">
        <v>4.0999999999999996</v>
      </c>
      <c r="O190" s="2">
        <v>1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f>'Multiple Regression Outputs'!$B$14+G190*'Multiple Regression Outputs'!$B$15+H190*'Multiple Regression Outputs'!$B$16+I190*'Multiple Regression Outputs'!$B$17+J190*'Multiple Regression Outputs'!$B$18+K190*'Multiple Regression Outputs'!$B$19+L190*'Multiple Regression Outputs'!$B$20+M190*'Multiple Regression Outputs'!$B$21+N190*'Multiple Regression Outputs'!$B$22+O190*'Multiple Regression Outputs'!$B$23+P190*'Multiple Regression Outputs'!$B$24+Q190*'Multiple Regression Outputs'!$B$25+R190*'Multiple Regression Outputs'!$B$26+S190*'Multiple Regression Outputs'!$B$27+T190*'Multiple Regression Outputs'!$B$28</f>
        <v>572107.63650434848</v>
      </c>
      <c r="V190" s="2">
        <f t="shared" si="2"/>
        <v>53886.193495651474</v>
      </c>
    </row>
    <row r="191" spans="1:22" ht="15" customHeight="1">
      <c r="A191" s="2">
        <v>190</v>
      </c>
      <c r="B191" s="2" t="s">
        <v>73</v>
      </c>
      <c r="C191" s="2" t="s">
        <v>18</v>
      </c>
      <c r="D191" s="2" t="s">
        <v>16</v>
      </c>
      <c r="E191" s="2" t="s">
        <v>22</v>
      </c>
      <c r="F191" s="2">
        <v>550962.93000000005</v>
      </c>
      <c r="G191" s="2">
        <v>55788.61</v>
      </c>
      <c r="H191" s="2">
        <v>2312</v>
      </c>
      <c r="I191" s="2">
        <v>5.8000000000000003E-2</v>
      </c>
      <c r="J191" s="2">
        <v>10</v>
      </c>
      <c r="K191" s="2">
        <v>91.3</v>
      </c>
      <c r="L191" s="2">
        <v>1.99</v>
      </c>
      <c r="M191" s="2">
        <v>0</v>
      </c>
      <c r="N191" s="2">
        <v>3.8</v>
      </c>
      <c r="O191" s="2">
        <v>1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f>'Multiple Regression Outputs'!$B$14+G191*'Multiple Regression Outputs'!$B$15+H191*'Multiple Regression Outputs'!$B$16+I191*'Multiple Regression Outputs'!$B$17+J191*'Multiple Regression Outputs'!$B$18+K191*'Multiple Regression Outputs'!$B$19+L191*'Multiple Regression Outputs'!$B$20+M191*'Multiple Regression Outputs'!$B$21+N191*'Multiple Regression Outputs'!$B$22+O191*'Multiple Regression Outputs'!$B$23+P191*'Multiple Regression Outputs'!$B$24+Q191*'Multiple Regression Outputs'!$B$25+R191*'Multiple Regression Outputs'!$B$26+S191*'Multiple Regression Outputs'!$B$27+T191*'Multiple Regression Outputs'!$B$28</f>
        <v>545510.62656410655</v>
      </c>
      <c r="V191" s="2">
        <f t="shared" si="2"/>
        <v>5452.3034358934965</v>
      </c>
    </row>
    <row r="192" spans="1:22" ht="15" customHeight="1">
      <c r="A192" s="2">
        <v>191</v>
      </c>
      <c r="B192" s="2" t="s">
        <v>73</v>
      </c>
      <c r="C192" s="2" t="s">
        <v>19</v>
      </c>
      <c r="D192" s="2" t="s">
        <v>16</v>
      </c>
      <c r="E192" s="2" t="s">
        <v>22</v>
      </c>
      <c r="F192" s="2">
        <v>443275.59</v>
      </c>
      <c r="G192" s="2">
        <v>37705.879999999997</v>
      </c>
      <c r="H192" s="2">
        <v>1268</v>
      </c>
      <c r="I192" s="2">
        <v>0.25900000000000001</v>
      </c>
      <c r="J192" s="2">
        <v>9</v>
      </c>
      <c r="K192" s="2">
        <v>84.1</v>
      </c>
      <c r="L192" s="2">
        <v>4.7699999999999996</v>
      </c>
      <c r="M192" s="2">
        <v>0</v>
      </c>
      <c r="N192" s="2">
        <v>3.8</v>
      </c>
      <c r="O192" s="2">
        <v>1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f>'Multiple Regression Outputs'!$B$14+G192*'Multiple Regression Outputs'!$B$15+H192*'Multiple Regression Outputs'!$B$16+I192*'Multiple Regression Outputs'!$B$17+J192*'Multiple Regression Outputs'!$B$18+K192*'Multiple Regression Outputs'!$B$19+L192*'Multiple Regression Outputs'!$B$20+M192*'Multiple Regression Outputs'!$B$21+N192*'Multiple Regression Outputs'!$B$22+O192*'Multiple Regression Outputs'!$B$23+P192*'Multiple Regression Outputs'!$B$24+Q192*'Multiple Regression Outputs'!$B$25+R192*'Multiple Regression Outputs'!$B$26+S192*'Multiple Regression Outputs'!$B$27+T192*'Multiple Regression Outputs'!$B$28</f>
        <v>451688.70280975883</v>
      </c>
      <c r="V192" s="2">
        <f t="shared" si="2"/>
        <v>-8413.112809758808</v>
      </c>
    </row>
    <row r="193" spans="1:22" ht="15" customHeight="1">
      <c r="A193" s="2">
        <v>192</v>
      </c>
      <c r="B193" s="2" t="s">
        <v>73</v>
      </c>
      <c r="C193" s="2" t="s">
        <v>20</v>
      </c>
      <c r="D193" s="2" t="s">
        <v>16</v>
      </c>
      <c r="E193" s="2" t="s">
        <v>22</v>
      </c>
      <c r="F193" s="2">
        <v>554012.06999999995</v>
      </c>
      <c r="G193" s="2">
        <v>54966.18</v>
      </c>
      <c r="H193" s="2">
        <v>4423</v>
      </c>
      <c r="I193" s="2">
        <v>0.186</v>
      </c>
      <c r="J193" s="2">
        <v>13</v>
      </c>
      <c r="K193" s="2">
        <v>88.7</v>
      </c>
      <c r="L193" s="2">
        <v>0.2</v>
      </c>
      <c r="M193" s="2">
        <v>0</v>
      </c>
      <c r="N193" s="2">
        <v>4.4000000000000004</v>
      </c>
      <c r="O193" s="2">
        <v>1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f>'Multiple Regression Outputs'!$B$14+G193*'Multiple Regression Outputs'!$B$15+H193*'Multiple Regression Outputs'!$B$16+I193*'Multiple Regression Outputs'!$B$17+J193*'Multiple Regression Outputs'!$B$18+K193*'Multiple Regression Outputs'!$B$19+L193*'Multiple Regression Outputs'!$B$20+M193*'Multiple Regression Outputs'!$B$21+N193*'Multiple Regression Outputs'!$B$22+O193*'Multiple Regression Outputs'!$B$23+P193*'Multiple Regression Outputs'!$B$24+Q193*'Multiple Regression Outputs'!$B$25+R193*'Multiple Regression Outputs'!$B$26+S193*'Multiple Regression Outputs'!$B$27+T193*'Multiple Regression Outputs'!$B$28</f>
        <v>613166.46997009148</v>
      </c>
      <c r="V193" s="2">
        <f t="shared" si="2"/>
        <v>-59154.39997009153</v>
      </c>
    </row>
    <row r="194" spans="1:22" ht="15" customHeight="1">
      <c r="A194" s="2">
        <v>193</v>
      </c>
      <c r="B194" s="2" t="s">
        <v>74</v>
      </c>
      <c r="C194" s="2" t="s">
        <v>15</v>
      </c>
      <c r="D194" s="2" t="s">
        <v>31</v>
      </c>
      <c r="E194" s="2" t="s">
        <v>17</v>
      </c>
      <c r="F194" s="2">
        <v>643428.85</v>
      </c>
      <c r="G194" s="2">
        <v>81796.740000000005</v>
      </c>
      <c r="H194" s="2">
        <v>6177</v>
      </c>
      <c r="I194" s="2">
        <v>0.16400000000000001</v>
      </c>
      <c r="J194" s="2">
        <v>14</v>
      </c>
      <c r="K194" s="2">
        <v>87.9</v>
      </c>
      <c r="L194" s="2">
        <v>0.53</v>
      </c>
      <c r="M194" s="2">
        <v>0</v>
      </c>
      <c r="N194" s="2">
        <v>3.2</v>
      </c>
      <c r="O194" s="2">
        <v>0</v>
      </c>
      <c r="P194" s="2">
        <v>0</v>
      </c>
      <c r="Q194" s="2">
        <v>1</v>
      </c>
      <c r="R194" s="2">
        <v>0</v>
      </c>
      <c r="S194" s="2">
        <v>0</v>
      </c>
      <c r="T194" s="2">
        <v>1</v>
      </c>
      <c r="U194" s="2">
        <f>'Multiple Regression Outputs'!$B$14+G194*'Multiple Regression Outputs'!$B$15+H194*'Multiple Regression Outputs'!$B$16+I194*'Multiple Regression Outputs'!$B$17+J194*'Multiple Regression Outputs'!$B$18+K194*'Multiple Regression Outputs'!$B$19+L194*'Multiple Regression Outputs'!$B$20+M194*'Multiple Regression Outputs'!$B$21+N194*'Multiple Regression Outputs'!$B$22+O194*'Multiple Regression Outputs'!$B$23+P194*'Multiple Regression Outputs'!$B$24+Q194*'Multiple Regression Outputs'!$B$25+R194*'Multiple Regression Outputs'!$B$26+S194*'Multiple Regression Outputs'!$B$27+T194*'Multiple Regression Outputs'!$B$28</f>
        <v>684469.42554537009</v>
      </c>
      <c r="V194" s="2">
        <f t="shared" ref="V194:V257" si="3">F194-U194</f>
        <v>-41040.575545370113</v>
      </c>
    </row>
    <row r="195" spans="1:22" ht="15" customHeight="1">
      <c r="A195" s="2">
        <v>194</v>
      </c>
      <c r="B195" s="2" t="s">
        <v>74</v>
      </c>
      <c r="C195" s="2" t="s">
        <v>18</v>
      </c>
      <c r="D195" s="2" t="s">
        <v>31</v>
      </c>
      <c r="E195" s="2" t="s">
        <v>17</v>
      </c>
      <c r="F195" s="2">
        <v>611924.27</v>
      </c>
      <c r="G195" s="2">
        <v>51133.43</v>
      </c>
      <c r="H195" s="2">
        <v>5150</v>
      </c>
      <c r="I195" s="2">
        <v>0.15</v>
      </c>
      <c r="J195" s="2">
        <v>12</v>
      </c>
      <c r="K195" s="2">
        <v>88.5</v>
      </c>
      <c r="L195" s="2">
        <v>1.54</v>
      </c>
      <c r="M195" s="2">
        <v>0</v>
      </c>
      <c r="N195" s="2">
        <v>3.2</v>
      </c>
      <c r="O195" s="2">
        <v>0</v>
      </c>
      <c r="P195" s="2">
        <v>0</v>
      </c>
      <c r="Q195" s="2">
        <v>1</v>
      </c>
      <c r="R195" s="2">
        <v>0</v>
      </c>
      <c r="S195" s="2">
        <v>0</v>
      </c>
      <c r="T195" s="2">
        <v>1</v>
      </c>
      <c r="U195" s="2">
        <f>'Multiple Regression Outputs'!$B$14+G195*'Multiple Regression Outputs'!$B$15+H195*'Multiple Regression Outputs'!$B$16+I195*'Multiple Regression Outputs'!$B$17+J195*'Multiple Regression Outputs'!$B$18+K195*'Multiple Regression Outputs'!$B$19+L195*'Multiple Regression Outputs'!$B$20+M195*'Multiple Regression Outputs'!$B$21+N195*'Multiple Regression Outputs'!$B$22+O195*'Multiple Regression Outputs'!$B$23+P195*'Multiple Regression Outputs'!$B$24+Q195*'Multiple Regression Outputs'!$B$25+R195*'Multiple Regression Outputs'!$B$26+S195*'Multiple Regression Outputs'!$B$27+T195*'Multiple Regression Outputs'!$B$28</f>
        <v>611220.18397859589</v>
      </c>
      <c r="V195" s="2">
        <f t="shared" si="3"/>
        <v>704.08602140413132</v>
      </c>
    </row>
    <row r="196" spans="1:22" ht="15" customHeight="1">
      <c r="A196" s="2">
        <v>195</v>
      </c>
      <c r="B196" s="2" t="s">
        <v>74</v>
      </c>
      <c r="C196" s="2" t="s">
        <v>19</v>
      </c>
      <c r="D196" s="2" t="s">
        <v>31</v>
      </c>
      <c r="E196" s="2" t="s">
        <v>17</v>
      </c>
      <c r="F196" s="2">
        <v>559422.02</v>
      </c>
      <c r="G196" s="2">
        <v>40220.18</v>
      </c>
      <c r="H196" s="2">
        <v>3783</v>
      </c>
      <c r="I196" s="2">
        <v>8.8999999999999996E-2</v>
      </c>
      <c r="J196" s="2">
        <v>14</v>
      </c>
      <c r="K196" s="2">
        <v>86.6</v>
      </c>
      <c r="L196" s="2">
        <v>3.63</v>
      </c>
      <c r="M196" s="2">
        <v>0</v>
      </c>
      <c r="N196" s="2">
        <v>3.7</v>
      </c>
      <c r="O196" s="2">
        <v>0</v>
      </c>
      <c r="P196" s="2">
        <v>0</v>
      </c>
      <c r="Q196" s="2">
        <v>1</v>
      </c>
      <c r="R196" s="2">
        <v>0</v>
      </c>
      <c r="S196" s="2">
        <v>0</v>
      </c>
      <c r="T196" s="2">
        <v>1</v>
      </c>
      <c r="U196" s="2">
        <f>'Multiple Regression Outputs'!$B$14+G196*'Multiple Regression Outputs'!$B$15+H196*'Multiple Regression Outputs'!$B$16+I196*'Multiple Regression Outputs'!$B$17+J196*'Multiple Regression Outputs'!$B$18+K196*'Multiple Regression Outputs'!$B$19+L196*'Multiple Regression Outputs'!$B$20+M196*'Multiple Regression Outputs'!$B$21+N196*'Multiple Regression Outputs'!$B$22+O196*'Multiple Regression Outputs'!$B$23+P196*'Multiple Regression Outputs'!$B$24+Q196*'Multiple Regression Outputs'!$B$25+R196*'Multiple Regression Outputs'!$B$26+S196*'Multiple Regression Outputs'!$B$27+T196*'Multiple Regression Outputs'!$B$28</f>
        <v>563430.86953300727</v>
      </c>
      <c r="V196" s="2">
        <f t="shared" si="3"/>
        <v>-4008.8495330072474</v>
      </c>
    </row>
    <row r="197" spans="1:22" ht="15" customHeight="1">
      <c r="A197" s="2">
        <v>196</v>
      </c>
      <c r="B197" s="2" t="s">
        <v>74</v>
      </c>
      <c r="C197" s="2" t="s">
        <v>20</v>
      </c>
      <c r="D197" s="2" t="s">
        <v>31</v>
      </c>
      <c r="E197" s="2" t="s">
        <v>17</v>
      </c>
      <c r="F197" s="2">
        <v>449465.06</v>
      </c>
      <c r="G197" s="2">
        <v>41657.64</v>
      </c>
      <c r="H197" s="2">
        <v>3135</v>
      </c>
      <c r="I197" s="2">
        <v>0.22900000000000001</v>
      </c>
      <c r="J197" s="2">
        <v>7</v>
      </c>
      <c r="K197" s="2">
        <v>85.4</v>
      </c>
      <c r="L197" s="2">
        <v>13.48</v>
      </c>
      <c r="M197" s="2">
        <v>0</v>
      </c>
      <c r="N197" s="2">
        <v>3.9</v>
      </c>
      <c r="O197" s="2">
        <v>0</v>
      </c>
      <c r="P197" s="2">
        <v>0</v>
      </c>
      <c r="Q197" s="2">
        <v>1</v>
      </c>
      <c r="R197" s="2">
        <v>0</v>
      </c>
      <c r="S197" s="2">
        <v>0</v>
      </c>
      <c r="T197" s="2">
        <v>1</v>
      </c>
      <c r="U197" s="2">
        <f>'Multiple Regression Outputs'!$B$14+G197*'Multiple Regression Outputs'!$B$15+H197*'Multiple Regression Outputs'!$B$16+I197*'Multiple Regression Outputs'!$B$17+J197*'Multiple Regression Outputs'!$B$18+K197*'Multiple Regression Outputs'!$B$19+L197*'Multiple Regression Outputs'!$B$20+M197*'Multiple Regression Outputs'!$B$21+N197*'Multiple Regression Outputs'!$B$22+O197*'Multiple Regression Outputs'!$B$23+P197*'Multiple Regression Outputs'!$B$24+Q197*'Multiple Regression Outputs'!$B$25+R197*'Multiple Regression Outputs'!$B$26+S197*'Multiple Regression Outputs'!$B$27+T197*'Multiple Regression Outputs'!$B$28</f>
        <v>482085.28112351906</v>
      </c>
      <c r="V197" s="2">
        <f t="shared" si="3"/>
        <v>-32620.221123519063</v>
      </c>
    </row>
    <row r="198" spans="1:22" ht="15" customHeight="1">
      <c r="A198" s="2">
        <v>197</v>
      </c>
      <c r="B198" s="2" t="s">
        <v>75</v>
      </c>
      <c r="C198" s="2" t="s">
        <v>15</v>
      </c>
      <c r="D198" s="2" t="s">
        <v>24</v>
      </c>
      <c r="E198" s="2" t="s">
        <v>17</v>
      </c>
      <c r="F198" s="2">
        <v>691447.43</v>
      </c>
      <c r="G198" s="2">
        <v>71851.45</v>
      </c>
      <c r="H198" s="2">
        <v>4970</v>
      </c>
      <c r="I198" s="2">
        <v>9.8000000000000004E-2</v>
      </c>
      <c r="J198" s="2">
        <v>11</v>
      </c>
      <c r="K198" s="2">
        <v>89.6</v>
      </c>
      <c r="L198" s="2">
        <v>0.2</v>
      </c>
      <c r="M198" s="2">
        <v>0</v>
      </c>
      <c r="N198" s="2">
        <v>4.2</v>
      </c>
      <c r="O198" s="2">
        <v>0</v>
      </c>
      <c r="P198" s="2">
        <v>0</v>
      </c>
      <c r="Q198" s="2">
        <v>1</v>
      </c>
      <c r="R198" s="2">
        <v>1</v>
      </c>
      <c r="S198" s="2">
        <v>0</v>
      </c>
      <c r="T198" s="2">
        <v>0</v>
      </c>
      <c r="U198" s="2">
        <f>'Multiple Regression Outputs'!$B$14+G198*'Multiple Regression Outputs'!$B$15+H198*'Multiple Regression Outputs'!$B$16+I198*'Multiple Regression Outputs'!$B$17+J198*'Multiple Regression Outputs'!$B$18+K198*'Multiple Regression Outputs'!$B$19+L198*'Multiple Regression Outputs'!$B$20+M198*'Multiple Regression Outputs'!$B$21+N198*'Multiple Regression Outputs'!$B$22+O198*'Multiple Regression Outputs'!$B$23+P198*'Multiple Regression Outputs'!$B$24+Q198*'Multiple Regression Outputs'!$B$25+R198*'Multiple Regression Outputs'!$B$26+S198*'Multiple Regression Outputs'!$B$27+T198*'Multiple Regression Outputs'!$B$28</f>
        <v>635145.48809820565</v>
      </c>
      <c r="V198" s="2">
        <f t="shared" si="3"/>
        <v>56301.941901794402</v>
      </c>
    </row>
    <row r="199" spans="1:22" ht="15" customHeight="1">
      <c r="A199" s="2">
        <v>198</v>
      </c>
      <c r="B199" s="2" t="s">
        <v>75</v>
      </c>
      <c r="C199" s="2" t="s">
        <v>18</v>
      </c>
      <c r="D199" s="2" t="s">
        <v>24</v>
      </c>
      <c r="E199" s="2" t="s">
        <v>17</v>
      </c>
      <c r="F199" s="2">
        <v>574066.61</v>
      </c>
      <c r="G199" s="2">
        <v>54002.83</v>
      </c>
      <c r="H199" s="2">
        <v>4366</v>
      </c>
      <c r="I199" s="2">
        <v>2.7E-2</v>
      </c>
      <c r="J199" s="2">
        <v>15</v>
      </c>
      <c r="K199" s="2">
        <v>90.6</v>
      </c>
      <c r="L199" s="2">
        <v>12.82</v>
      </c>
      <c r="M199" s="2">
        <v>0</v>
      </c>
      <c r="N199" s="2">
        <v>4.5999999999999996</v>
      </c>
      <c r="O199" s="2">
        <v>0</v>
      </c>
      <c r="P199" s="2">
        <v>0</v>
      </c>
      <c r="Q199" s="2">
        <v>1</v>
      </c>
      <c r="R199" s="2">
        <v>1</v>
      </c>
      <c r="S199" s="2">
        <v>0</v>
      </c>
      <c r="T199" s="2">
        <v>0</v>
      </c>
      <c r="U199" s="2">
        <f>'Multiple Regression Outputs'!$B$14+G199*'Multiple Regression Outputs'!$B$15+H199*'Multiple Regression Outputs'!$B$16+I199*'Multiple Regression Outputs'!$B$17+J199*'Multiple Regression Outputs'!$B$18+K199*'Multiple Regression Outputs'!$B$19+L199*'Multiple Regression Outputs'!$B$20+M199*'Multiple Regression Outputs'!$B$21+N199*'Multiple Regression Outputs'!$B$22+O199*'Multiple Regression Outputs'!$B$23+P199*'Multiple Regression Outputs'!$B$24+Q199*'Multiple Regression Outputs'!$B$25+R199*'Multiple Regression Outputs'!$B$26+S199*'Multiple Regression Outputs'!$B$27+T199*'Multiple Regression Outputs'!$B$28</f>
        <v>578677.80574741738</v>
      </c>
      <c r="V199" s="2">
        <f t="shared" si="3"/>
        <v>-4611.1957474173978</v>
      </c>
    </row>
    <row r="200" spans="1:22" ht="15" customHeight="1">
      <c r="A200" s="2">
        <v>199</v>
      </c>
      <c r="B200" s="2" t="s">
        <v>75</v>
      </c>
      <c r="C200" s="2" t="s">
        <v>19</v>
      </c>
      <c r="D200" s="2" t="s">
        <v>24</v>
      </c>
      <c r="E200" s="2" t="s">
        <v>17</v>
      </c>
      <c r="F200" s="2">
        <v>578949.84</v>
      </c>
      <c r="G200" s="2">
        <v>54479.33</v>
      </c>
      <c r="H200" s="2">
        <v>5012</v>
      </c>
      <c r="I200" s="2">
        <v>0.28399999999999997</v>
      </c>
      <c r="J200" s="2">
        <v>13</v>
      </c>
      <c r="K200" s="2">
        <v>86</v>
      </c>
      <c r="L200" s="2">
        <v>2.2400000000000002</v>
      </c>
      <c r="M200" s="2">
        <v>1</v>
      </c>
      <c r="N200" s="2">
        <v>4.3</v>
      </c>
      <c r="O200" s="2">
        <v>0</v>
      </c>
      <c r="P200" s="2">
        <v>0</v>
      </c>
      <c r="Q200" s="2">
        <v>1</v>
      </c>
      <c r="R200" s="2">
        <v>1</v>
      </c>
      <c r="S200" s="2">
        <v>0</v>
      </c>
      <c r="T200" s="2">
        <v>0</v>
      </c>
      <c r="U200" s="2">
        <f>'Multiple Regression Outputs'!$B$14+G200*'Multiple Regression Outputs'!$B$15+H200*'Multiple Regression Outputs'!$B$16+I200*'Multiple Regression Outputs'!$B$17+J200*'Multiple Regression Outputs'!$B$18+K200*'Multiple Regression Outputs'!$B$19+L200*'Multiple Regression Outputs'!$B$20+M200*'Multiple Regression Outputs'!$B$21+N200*'Multiple Regression Outputs'!$B$22+O200*'Multiple Regression Outputs'!$B$23+P200*'Multiple Regression Outputs'!$B$24+Q200*'Multiple Regression Outputs'!$B$25+R200*'Multiple Regression Outputs'!$B$26+S200*'Multiple Regression Outputs'!$B$27+T200*'Multiple Regression Outputs'!$B$28</f>
        <v>612990.69421628746</v>
      </c>
      <c r="V200" s="2">
        <f t="shared" si="3"/>
        <v>-34040.854216287495</v>
      </c>
    </row>
    <row r="201" spans="1:22" ht="15" customHeight="1">
      <c r="A201" s="2">
        <v>200</v>
      </c>
      <c r="B201" s="2" t="s">
        <v>75</v>
      </c>
      <c r="C201" s="2" t="s">
        <v>20</v>
      </c>
      <c r="D201" s="2" t="s">
        <v>24</v>
      </c>
      <c r="E201" s="2" t="s">
        <v>17</v>
      </c>
      <c r="F201" s="2">
        <v>735786.64</v>
      </c>
      <c r="G201" s="2">
        <v>61391.8</v>
      </c>
      <c r="H201" s="2">
        <v>5575</v>
      </c>
      <c r="I201" s="2">
        <v>0.189</v>
      </c>
      <c r="J201" s="2">
        <v>18</v>
      </c>
      <c r="K201" s="2">
        <v>90</v>
      </c>
      <c r="L201" s="2">
        <v>1.8</v>
      </c>
      <c r="M201" s="2">
        <v>0</v>
      </c>
      <c r="N201" s="2">
        <v>4.8</v>
      </c>
      <c r="O201" s="2">
        <v>0</v>
      </c>
      <c r="P201" s="2">
        <v>0</v>
      </c>
      <c r="Q201" s="2">
        <v>1</v>
      </c>
      <c r="R201" s="2">
        <v>1</v>
      </c>
      <c r="S201" s="2">
        <v>0</v>
      </c>
      <c r="T201" s="2">
        <v>0</v>
      </c>
      <c r="U201" s="2">
        <f>'Multiple Regression Outputs'!$B$14+G201*'Multiple Regression Outputs'!$B$15+H201*'Multiple Regression Outputs'!$B$16+I201*'Multiple Regression Outputs'!$B$17+J201*'Multiple Regression Outputs'!$B$18+K201*'Multiple Regression Outputs'!$B$19+L201*'Multiple Regression Outputs'!$B$20+M201*'Multiple Regression Outputs'!$B$21+N201*'Multiple Regression Outputs'!$B$22+O201*'Multiple Regression Outputs'!$B$23+P201*'Multiple Regression Outputs'!$B$24+Q201*'Multiple Regression Outputs'!$B$25+R201*'Multiple Regression Outputs'!$B$26+S201*'Multiple Regression Outputs'!$B$27+T201*'Multiple Regression Outputs'!$B$28</f>
        <v>663063.71325052076</v>
      </c>
      <c r="V201" s="2">
        <f t="shared" si="3"/>
        <v>72722.926749479258</v>
      </c>
    </row>
    <row r="202" spans="1:22" ht="15" customHeight="1">
      <c r="A202" s="2">
        <v>201</v>
      </c>
      <c r="B202" s="2" t="s">
        <v>76</v>
      </c>
      <c r="C202" s="2" t="s">
        <v>15</v>
      </c>
      <c r="D202" s="2" t="s">
        <v>16</v>
      </c>
      <c r="E202" s="2" t="s">
        <v>25</v>
      </c>
      <c r="F202" s="2">
        <v>598904.9</v>
      </c>
      <c r="G202" s="2">
        <v>22312.93</v>
      </c>
      <c r="H202" s="2">
        <v>5955</v>
      </c>
      <c r="I202" s="2">
        <v>0.123</v>
      </c>
      <c r="J202" s="2">
        <v>13</v>
      </c>
      <c r="K202" s="2">
        <v>84.2</v>
      </c>
      <c r="L202" s="2">
        <v>0.41</v>
      </c>
      <c r="M202" s="2">
        <v>1</v>
      </c>
      <c r="N202" s="2">
        <v>4.5999999999999996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f>'Multiple Regression Outputs'!$B$14+G202*'Multiple Regression Outputs'!$B$15+H202*'Multiple Regression Outputs'!$B$16+I202*'Multiple Regression Outputs'!$B$17+J202*'Multiple Regression Outputs'!$B$18+K202*'Multiple Regression Outputs'!$B$19+L202*'Multiple Regression Outputs'!$B$20+M202*'Multiple Regression Outputs'!$B$21+N202*'Multiple Regression Outputs'!$B$22+O202*'Multiple Regression Outputs'!$B$23+P202*'Multiple Regression Outputs'!$B$24+Q202*'Multiple Regression Outputs'!$B$25+R202*'Multiple Regression Outputs'!$B$26+S202*'Multiple Regression Outputs'!$B$27+T202*'Multiple Regression Outputs'!$B$28</f>
        <v>645768.80769224814</v>
      </c>
      <c r="V202" s="2">
        <f t="shared" si="3"/>
        <v>-46863.907692248118</v>
      </c>
    </row>
    <row r="203" spans="1:22" ht="15" customHeight="1">
      <c r="A203" s="2">
        <v>202</v>
      </c>
      <c r="B203" s="2" t="s">
        <v>76</v>
      </c>
      <c r="C203" s="2" t="s">
        <v>18</v>
      </c>
      <c r="D203" s="2" t="s">
        <v>16</v>
      </c>
      <c r="E203" s="2" t="s">
        <v>25</v>
      </c>
      <c r="F203" s="2">
        <v>787715.51</v>
      </c>
      <c r="G203" s="2">
        <v>78111.97</v>
      </c>
      <c r="H203" s="2">
        <v>6389</v>
      </c>
      <c r="I203" s="2">
        <v>0.15</v>
      </c>
      <c r="J203" s="2">
        <v>13</v>
      </c>
      <c r="K203" s="2">
        <v>83.9</v>
      </c>
      <c r="L203" s="2">
        <v>3.05</v>
      </c>
      <c r="M203" s="2">
        <v>0</v>
      </c>
      <c r="N203" s="2">
        <v>4.8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f>'Multiple Regression Outputs'!$B$14+G203*'Multiple Regression Outputs'!$B$15+H203*'Multiple Regression Outputs'!$B$16+I203*'Multiple Regression Outputs'!$B$17+J203*'Multiple Regression Outputs'!$B$18+K203*'Multiple Regression Outputs'!$B$19+L203*'Multiple Regression Outputs'!$B$20+M203*'Multiple Regression Outputs'!$B$21+N203*'Multiple Regression Outputs'!$B$22+O203*'Multiple Regression Outputs'!$B$23+P203*'Multiple Regression Outputs'!$B$24+Q203*'Multiple Regression Outputs'!$B$25+R203*'Multiple Regression Outputs'!$B$26+S203*'Multiple Regression Outputs'!$B$27+T203*'Multiple Regression Outputs'!$B$28</f>
        <v>701381.33655926306</v>
      </c>
      <c r="V203" s="2">
        <f t="shared" si="3"/>
        <v>86334.173440736951</v>
      </c>
    </row>
    <row r="204" spans="1:22" ht="15" customHeight="1">
      <c r="A204" s="2">
        <v>203</v>
      </c>
      <c r="B204" s="2" t="s">
        <v>76</v>
      </c>
      <c r="C204" s="2" t="s">
        <v>19</v>
      </c>
      <c r="D204" s="2" t="s">
        <v>16</v>
      </c>
      <c r="E204" s="2" t="s">
        <v>25</v>
      </c>
      <c r="F204" s="2">
        <v>607084.92000000004</v>
      </c>
      <c r="G204" s="2">
        <v>35203.230000000003</v>
      </c>
      <c r="H204" s="2">
        <v>6896</v>
      </c>
      <c r="I204" s="2">
        <v>3.2000000000000001E-2</v>
      </c>
      <c r="J204" s="2">
        <v>14</v>
      </c>
      <c r="K204" s="2">
        <v>80.8</v>
      </c>
      <c r="L204" s="2">
        <v>8.44</v>
      </c>
      <c r="M204" s="2">
        <v>1</v>
      </c>
      <c r="N204" s="2">
        <v>5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f>'Multiple Regression Outputs'!$B$14+G204*'Multiple Regression Outputs'!$B$15+H204*'Multiple Regression Outputs'!$B$16+I204*'Multiple Regression Outputs'!$B$17+J204*'Multiple Regression Outputs'!$B$18+K204*'Multiple Regression Outputs'!$B$19+L204*'Multiple Regression Outputs'!$B$20+M204*'Multiple Regression Outputs'!$B$21+N204*'Multiple Regression Outputs'!$B$22+O204*'Multiple Regression Outputs'!$B$23+P204*'Multiple Regression Outputs'!$B$24+Q204*'Multiple Regression Outputs'!$B$25+R204*'Multiple Regression Outputs'!$B$26+S204*'Multiple Regression Outputs'!$B$27+T204*'Multiple Regression Outputs'!$B$28</f>
        <v>661334.29699349951</v>
      </c>
      <c r="V204" s="2">
        <f t="shared" si="3"/>
        <v>-54249.376993499463</v>
      </c>
    </row>
    <row r="205" spans="1:22" ht="15" customHeight="1">
      <c r="A205" s="2">
        <v>204</v>
      </c>
      <c r="B205" s="2" t="s">
        <v>76</v>
      </c>
      <c r="C205" s="2" t="s">
        <v>20</v>
      </c>
      <c r="D205" s="2" t="s">
        <v>16</v>
      </c>
      <c r="E205" s="2" t="s">
        <v>25</v>
      </c>
      <c r="F205" s="2">
        <v>650795.49</v>
      </c>
      <c r="G205" s="2">
        <v>64104.28</v>
      </c>
      <c r="H205" s="2">
        <v>6015</v>
      </c>
      <c r="I205" s="2">
        <v>0.127</v>
      </c>
      <c r="J205" s="2">
        <v>15</v>
      </c>
      <c r="K205" s="2">
        <v>88.7</v>
      </c>
      <c r="L205" s="2">
        <v>0.78</v>
      </c>
      <c r="M205" s="2">
        <v>0</v>
      </c>
      <c r="N205" s="2">
        <v>4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f>'Multiple Regression Outputs'!$B$14+G205*'Multiple Regression Outputs'!$B$15+H205*'Multiple Regression Outputs'!$B$16+I205*'Multiple Regression Outputs'!$B$17+J205*'Multiple Regression Outputs'!$B$18+K205*'Multiple Regression Outputs'!$B$19+L205*'Multiple Regression Outputs'!$B$20+M205*'Multiple Regression Outputs'!$B$21+N205*'Multiple Regression Outputs'!$B$22+O205*'Multiple Regression Outputs'!$B$23+P205*'Multiple Regression Outputs'!$B$24+Q205*'Multiple Regression Outputs'!$B$25+R205*'Multiple Regression Outputs'!$B$26+S205*'Multiple Regression Outputs'!$B$27+T205*'Multiple Regression Outputs'!$B$28</f>
        <v>694670.23249182873</v>
      </c>
      <c r="V205" s="2">
        <f t="shared" si="3"/>
        <v>-43874.742491828743</v>
      </c>
    </row>
    <row r="206" spans="1:22" ht="15" customHeight="1">
      <c r="A206" s="2">
        <v>205</v>
      </c>
      <c r="B206" s="2" t="s">
        <v>77</v>
      </c>
      <c r="C206" s="2" t="s">
        <v>15</v>
      </c>
      <c r="D206" s="2" t="s">
        <v>16</v>
      </c>
      <c r="E206" s="2" t="s">
        <v>32</v>
      </c>
      <c r="F206" s="2">
        <v>825060.52</v>
      </c>
      <c r="G206" s="2">
        <v>92090.14</v>
      </c>
      <c r="H206" s="2">
        <v>9476</v>
      </c>
      <c r="I206" s="2">
        <v>7.0000000000000007E-2</v>
      </c>
      <c r="J206" s="2">
        <v>24</v>
      </c>
      <c r="K206" s="2">
        <v>94.3</v>
      </c>
      <c r="L206" s="2">
        <v>0.87</v>
      </c>
      <c r="M206" s="2">
        <v>0</v>
      </c>
      <c r="N206" s="2">
        <v>3.7</v>
      </c>
      <c r="O206" s="2">
        <v>0</v>
      </c>
      <c r="P206" s="2">
        <v>1</v>
      </c>
      <c r="Q206" s="2">
        <v>0</v>
      </c>
      <c r="R206" s="2">
        <v>0</v>
      </c>
      <c r="S206" s="2">
        <v>0</v>
      </c>
      <c r="T206" s="2">
        <v>0</v>
      </c>
      <c r="U206" s="2">
        <f>'Multiple Regression Outputs'!$B$14+G206*'Multiple Regression Outputs'!$B$15+H206*'Multiple Regression Outputs'!$B$16+I206*'Multiple Regression Outputs'!$B$17+J206*'Multiple Regression Outputs'!$B$18+K206*'Multiple Regression Outputs'!$B$19+L206*'Multiple Regression Outputs'!$B$20+M206*'Multiple Regression Outputs'!$B$21+N206*'Multiple Regression Outputs'!$B$22+O206*'Multiple Regression Outputs'!$B$23+P206*'Multiple Regression Outputs'!$B$24+Q206*'Multiple Regression Outputs'!$B$25+R206*'Multiple Regression Outputs'!$B$26+S206*'Multiple Regression Outputs'!$B$27+T206*'Multiple Regression Outputs'!$B$28</f>
        <v>858292.01220119535</v>
      </c>
      <c r="V206" s="2">
        <f t="shared" si="3"/>
        <v>-33231.492201195331</v>
      </c>
    </row>
    <row r="207" spans="1:22" ht="15" customHeight="1">
      <c r="A207" s="2">
        <v>206</v>
      </c>
      <c r="B207" s="2" t="s">
        <v>77</v>
      </c>
      <c r="C207" s="2" t="s">
        <v>18</v>
      </c>
      <c r="D207" s="2" t="s">
        <v>16</v>
      </c>
      <c r="E207" s="2" t="s">
        <v>32</v>
      </c>
      <c r="F207" s="2">
        <v>795464.47</v>
      </c>
      <c r="G207" s="2">
        <v>54300.87</v>
      </c>
      <c r="H207" s="2">
        <v>7875</v>
      </c>
      <c r="I207" s="2">
        <v>0.107</v>
      </c>
      <c r="J207" s="2">
        <v>19</v>
      </c>
      <c r="K207" s="2">
        <v>94.1</v>
      </c>
      <c r="L207" s="2">
        <v>0.95</v>
      </c>
      <c r="M207" s="2">
        <v>0</v>
      </c>
      <c r="N207" s="2">
        <v>3.7</v>
      </c>
      <c r="O207" s="2">
        <v>0</v>
      </c>
      <c r="P207" s="2">
        <v>1</v>
      </c>
      <c r="Q207" s="2">
        <v>0</v>
      </c>
      <c r="R207" s="2">
        <v>0</v>
      </c>
      <c r="S207" s="2">
        <v>0</v>
      </c>
      <c r="T207" s="2">
        <v>0</v>
      </c>
      <c r="U207" s="2">
        <f>'Multiple Regression Outputs'!$B$14+G207*'Multiple Regression Outputs'!$B$15+H207*'Multiple Regression Outputs'!$B$16+I207*'Multiple Regression Outputs'!$B$17+J207*'Multiple Regression Outputs'!$B$18+K207*'Multiple Regression Outputs'!$B$19+L207*'Multiple Regression Outputs'!$B$20+M207*'Multiple Regression Outputs'!$B$21+N207*'Multiple Regression Outputs'!$B$22+O207*'Multiple Regression Outputs'!$B$23+P207*'Multiple Regression Outputs'!$B$24+Q207*'Multiple Regression Outputs'!$B$25+R207*'Multiple Regression Outputs'!$B$26+S207*'Multiple Regression Outputs'!$B$27+T207*'Multiple Regression Outputs'!$B$28</f>
        <v>748848.96682046074</v>
      </c>
      <c r="V207" s="2">
        <f t="shared" si="3"/>
        <v>46615.503179539228</v>
      </c>
    </row>
    <row r="208" spans="1:22" ht="15" customHeight="1">
      <c r="A208" s="2">
        <v>207</v>
      </c>
      <c r="B208" s="2" t="s">
        <v>77</v>
      </c>
      <c r="C208" s="2" t="s">
        <v>19</v>
      </c>
      <c r="D208" s="2" t="s">
        <v>16</v>
      </c>
      <c r="E208" s="2" t="s">
        <v>32</v>
      </c>
      <c r="F208" s="2">
        <v>671868.59</v>
      </c>
      <c r="G208" s="2">
        <v>37983.35</v>
      </c>
      <c r="H208" s="2">
        <v>9283</v>
      </c>
      <c r="I208" s="2">
        <v>0.14899999999999999</v>
      </c>
      <c r="J208" s="2">
        <v>19</v>
      </c>
      <c r="K208" s="2">
        <v>83.2</v>
      </c>
      <c r="L208" s="2">
        <v>3.82</v>
      </c>
      <c r="M208" s="2">
        <v>0</v>
      </c>
      <c r="N208" s="2">
        <v>3.7</v>
      </c>
      <c r="O208" s="2">
        <v>0</v>
      </c>
      <c r="P208" s="2">
        <v>1</v>
      </c>
      <c r="Q208" s="2">
        <v>0</v>
      </c>
      <c r="R208" s="2">
        <v>0</v>
      </c>
      <c r="S208" s="2">
        <v>0</v>
      </c>
      <c r="T208" s="2">
        <v>0</v>
      </c>
      <c r="U208" s="2">
        <f>'Multiple Regression Outputs'!$B$14+G208*'Multiple Regression Outputs'!$B$15+H208*'Multiple Regression Outputs'!$B$16+I208*'Multiple Regression Outputs'!$B$17+J208*'Multiple Regression Outputs'!$B$18+K208*'Multiple Regression Outputs'!$B$19+L208*'Multiple Regression Outputs'!$B$20+M208*'Multiple Regression Outputs'!$B$21+N208*'Multiple Regression Outputs'!$B$22+O208*'Multiple Regression Outputs'!$B$23+P208*'Multiple Regression Outputs'!$B$24+Q208*'Multiple Regression Outputs'!$B$25+R208*'Multiple Regression Outputs'!$B$26+S208*'Multiple Regression Outputs'!$B$27+T208*'Multiple Regression Outputs'!$B$28</f>
        <v>722617.6226871463</v>
      </c>
      <c r="V208" s="2">
        <f t="shared" si="3"/>
        <v>-50749.032687146333</v>
      </c>
    </row>
    <row r="209" spans="1:22" ht="15" customHeight="1">
      <c r="A209" s="2">
        <v>208</v>
      </c>
      <c r="B209" s="2" t="s">
        <v>77</v>
      </c>
      <c r="C209" s="2" t="s">
        <v>20</v>
      </c>
      <c r="D209" s="2" t="s">
        <v>16</v>
      </c>
      <c r="E209" s="2" t="s">
        <v>32</v>
      </c>
      <c r="F209" s="2">
        <v>675917.63</v>
      </c>
      <c r="G209" s="2">
        <v>56413.83</v>
      </c>
      <c r="H209" s="2">
        <v>8303</v>
      </c>
      <c r="I209" s="2">
        <v>0.11600000000000001</v>
      </c>
      <c r="J209" s="2">
        <v>18</v>
      </c>
      <c r="K209" s="2">
        <v>93.6</v>
      </c>
      <c r="L209" s="2">
        <v>2.7</v>
      </c>
      <c r="M209" s="2">
        <v>0</v>
      </c>
      <c r="N209" s="2">
        <v>3.7</v>
      </c>
      <c r="O209" s="2">
        <v>0</v>
      </c>
      <c r="P209" s="2">
        <v>1</v>
      </c>
      <c r="Q209" s="2">
        <v>0</v>
      </c>
      <c r="R209" s="2">
        <v>0</v>
      </c>
      <c r="S209" s="2">
        <v>0</v>
      </c>
      <c r="T209" s="2">
        <v>0</v>
      </c>
      <c r="U209" s="2">
        <f>'Multiple Regression Outputs'!$B$14+G209*'Multiple Regression Outputs'!$B$15+H209*'Multiple Regression Outputs'!$B$16+I209*'Multiple Regression Outputs'!$B$17+J209*'Multiple Regression Outputs'!$B$18+K209*'Multiple Regression Outputs'!$B$19+L209*'Multiple Regression Outputs'!$B$20+M209*'Multiple Regression Outputs'!$B$21+N209*'Multiple Regression Outputs'!$B$22+O209*'Multiple Regression Outputs'!$B$23+P209*'Multiple Regression Outputs'!$B$24+Q209*'Multiple Regression Outputs'!$B$25+R209*'Multiple Regression Outputs'!$B$26+S209*'Multiple Regression Outputs'!$B$27+T209*'Multiple Regression Outputs'!$B$28</f>
        <v>751678.00721932319</v>
      </c>
      <c r="V209" s="2">
        <f t="shared" si="3"/>
        <v>-75760.377219323185</v>
      </c>
    </row>
    <row r="210" spans="1:22" ht="15" customHeight="1">
      <c r="A210" s="2">
        <v>209</v>
      </c>
      <c r="B210" s="2" t="s">
        <v>78</v>
      </c>
      <c r="C210" s="2" t="s">
        <v>15</v>
      </c>
      <c r="D210" s="2" t="s">
        <v>16</v>
      </c>
      <c r="E210" s="2" t="s">
        <v>22</v>
      </c>
      <c r="F210" s="2">
        <v>810446.53</v>
      </c>
      <c r="G210" s="2">
        <v>63457.19</v>
      </c>
      <c r="H210" s="2">
        <v>10125</v>
      </c>
      <c r="I210" s="2">
        <v>9.7000000000000003E-2</v>
      </c>
      <c r="J210" s="2">
        <v>24</v>
      </c>
      <c r="K210" s="2">
        <v>87</v>
      </c>
      <c r="L210" s="2">
        <v>3.84</v>
      </c>
      <c r="M210" s="2">
        <v>1</v>
      </c>
      <c r="N210" s="2">
        <v>3.7</v>
      </c>
      <c r="O210" s="2">
        <v>1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f>'Multiple Regression Outputs'!$B$14+G210*'Multiple Regression Outputs'!$B$15+H210*'Multiple Regression Outputs'!$B$16+I210*'Multiple Regression Outputs'!$B$17+J210*'Multiple Regression Outputs'!$B$18+K210*'Multiple Regression Outputs'!$B$19+L210*'Multiple Regression Outputs'!$B$20+M210*'Multiple Regression Outputs'!$B$21+N210*'Multiple Regression Outputs'!$B$22+O210*'Multiple Regression Outputs'!$B$23+P210*'Multiple Regression Outputs'!$B$24+Q210*'Multiple Regression Outputs'!$B$25+R210*'Multiple Regression Outputs'!$B$26+S210*'Multiple Regression Outputs'!$B$27+T210*'Multiple Regression Outputs'!$B$28</f>
        <v>810254.19286683516</v>
      </c>
      <c r="V210" s="2">
        <f t="shared" si="3"/>
        <v>192.33713316486683</v>
      </c>
    </row>
    <row r="211" spans="1:22" ht="15" customHeight="1">
      <c r="A211" s="2">
        <v>210</v>
      </c>
      <c r="B211" s="2" t="s">
        <v>78</v>
      </c>
      <c r="C211" s="2" t="s">
        <v>18</v>
      </c>
      <c r="D211" s="2" t="s">
        <v>16</v>
      </c>
      <c r="E211" s="2" t="s">
        <v>22</v>
      </c>
      <c r="F211" s="2">
        <v>691288.19</v>
      </c>
      <c r="G211" s="2">
        <v>62949.7</v>
      </c>
      <c r="H211" s="2">
        <v>9458</v>
      </c>
      <c r="I211" s="2">
        <v>0.17100000000000001</v>
      </c>
      <c r="J211" s="2">
        <v>19</v>
      </c>
      <c r="K211" s="2">
        <v>84.9</v>
      </c>
      <c r="L211" s="2">
        <v>5.09</v>
      </c>
      <c r="M211" s="2">
        <v>0</v>
      </c>
      <c r="N211" s="2">
        <v>3.3</v>
      </c>
      <c r="O211" s="2">
        <v>1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f>'Multiple Regression Outputs'!$B$14+G211*'Multiple Regression Outputs'!$B$15+H211*'Multiple Regression Outputs'!$B$16+I211*'Multiple Regression Outputs'!$B$17+J211*'Multiple Regression Outputs'!$B$18+K211*'Multiple Regression Outputs'!$B$19+L211*'Multiple Regression Outputs'!$B$20+M211*'Multiple Regression Outputs'!$B$21+N211*'Multiple Regression Outputs'!$B$22+O211*'Multiple Regression Outputs'!$B$23+P211*'Multiple Regression Outputs'!$B$24+Q211*'Multiple Regression Outputs'!$B$25+R211*'Multiple Regression Outputs'!$B$26+S211*'Multiple Regression Outputs'!$B$27+T211*'Multiple Regression Outputs'!$B$28</f>
        <v>739923.58719175973</v>
      </c>
      <c r="V211" s="2">
        <f t="shared" si="3"/>
        <v>-48635.397191759781</v>
      </c>
    </row>
    <row r="212" spans="1:22" ht="15" customHeight="1">
      <c r="A212" s="2">
        <v>211</v>
      </c>
      <c r="B212" s="2" t="s">
        <v>78</v>
      </c>
      <c r="C212" s="2" t="s">
        <v>19</v>
      </c>
      <c r="D212" s="2" t="s">
        <v>16</v>
      </c>
      <c r="E212" s="2" t="s">
        <v>22</v>
      </c>
      <c r="F212" s="2">
        <v>946833.54</v>
      </c>
      <c r="G212" s="2">
        <v>107970.19</v>
      </c>
      <c r="H212" s="2">
        <v>12870</v>
      </c>
      <c r="I212" s="2">
        <v>2.9000000000000001E-2</v>
      </c>
      <c r="J212" s="2">
        <v>31</v>
      </c>
      <c r="K212" s="2">
        <v>91.7</v>
      </c>
      <c r="L212" s="2">
        <v>3.82</v>
      </c>
      <c r="M212" s="2">
        <v>1</v>
      </c>
      <c r="N212" s="2">
        <v>3.7</v>
      </c>
      <c r="O212" s="2">
        <v>1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f>'Multiple Regression Outputs'!$B$14+G212*'Multiple Regression Outputs'!$B$15+H212*'Multiple Regression Outputs'!$B$16+I212*'Multiple Regression Outputs'!$B$17+J212*'Multiple Regression Outputs'!$B$18+K212*'Multiple Regression Outputs'!$B$19+L212*'Multiple Regression Outputs'!$B$20+M212*'Multiple Regression Outputs'!$B$21+N212*'Multiple Regression Outputs'!$B$22+O212*'Multiple Regression Outputs'!$B$23+P212*'Multiple Regression Outputs'!$B$24+Q212*'Multiple Regression Outputs'!$B$25+R212*'Multiple Regression Outputs'!$B$26+S212*'Multiple Regression Outputs'!$B$27+T212*'Multiple Regression Outputs'!$B$28</f>
        <v>980974.07336741884</v>
      </c>
      <c r="V212" s="2">
        <f t="shared" si="3"/>
        <v>-34140.5333674188</v>
      </c>
    </row>
    <row r="213" spans="1:22" ht="15" customHeight="1">
      <c r="A213" s="2">
        <v>212</v>
      </c>
      <c r="B213" s="2" t="s">
        <v>78</v>
      </c>
      <c r="C213" s="2" t="s">
        <v>20</v>
      </c>
      <c r="D213" s="2" t="s">
        <v>16</v>
      </c>
      <c r="E213" s="2" t="s">
        <v>22</v>
      </c>
      <c r="F213" s="2">
        <v>761963.23</v>
      </c>
      <c r="G213" s="2">
        <v>49405.75</v>
      </c>
      <c r="H213" s="2">
        <v>9752</v>
      </c>
      <c r="I213" s="2">
        <v>9.2999999999999999E-2</v>
      </c>
      <c r="J213" s="2">
        <v>21</v>
      </c>
      <c r="K213" s="2">
        <v>87</v>
      </c>
      <c r="L213" s="2">
        <v>12.28</v>
      </c>
      <c r="M213" s="2">
        <v>0</v>
      </c>
      <c r="N213" s="2">
        <v>4.0999999999999996</v>
      </c>
      <c r="O213" s="2">
        <v>1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f>'Multiple Regression Outputs'!$B$14+G213*'Multiple Regression Outputs'!$B$15+H213*'Multiple Regression Outputs'!$B$16+I213*'Multiple Regression Outputs'!$B$17+J213*'Multiple Regression Outputs'!$B$18+K213*'Multiple Regression Outputs'!$B$19+L213*'Multiple Regression Outputs'!$B$20+M213*'Multiple Regression Outputs'!$B$21+N213*'Multiple Regression Outputs'!$B$22+O213*'Multiple Regression Outputs'!$B$23+P213*'Multiple Regression Outputs'!$B$24+Q213*'Multiple Regression Outputs'!$B$25+R213*'Multiple Regression Outputs'!$B$26+S213*'Multiple Regression Outputs'!$B$27+T213*'Multiple Regression Outputs'!$B$28</f>
        <v>733525.19617191365</v>
      </c>
      <c r="V213" s="2">
        <f t="shared" si="3"/>
        <v>28438.033828086336</v>
      </c>
    </row>
    <row r="214" spans="1:22" ht="15" customHeight="1">
      <c r="A214" s="2">
        <v>213</v>
      </c>
      <c r="B214" s="2" t="s">
        <v>79</v>
      </c>
      <c r="C214" s="2" t="s">
        <v>15</v>
      </c>
      <c r="D214" s="2" t="s">
        <v>31</v>
      </c>
      <c r="E214" s="2" t="s">
        <v>17</v>
      </c>
      <c r="F214" s="2">
        <v>812152.6</v>
      </c>
      <c r="G214" s="2">
        <v>50887.46</v>
      </c>
      <c r="H214" s="2">
        <v>9505</v>
      </c>
      <c r="I214" s="2">
        <v>9.0999999999999998E-2</v>
      </c>
      <c r="J214" s="2">
        <v>25</v>
      </c>
      <c r="K214" s="2">
        <v>89.7</v>
      </c>
      <c r="L214" s="2">
        <v>2.8</v>
      </c>
      <c r="M214" s="2">
        <v>0</v>
      </c>
      <c r="N214" s="2">
        <v>4.3</v>
      </c>
      <c r="O214" s="2">
        <v>0</v>
      </c>
      <c r="P214" s="2">
        <v>0</v>
      </c>
      <c r="Q214" s="2">
        <v>1</v>
      </c>
      <c r="R214" s="2">
        <v>0</v>
      </c>
      <c r="S214" s="2">
        <v>0</v>
      </c>
      <c r="T214" s="2">
        <v>1</v>
      </c>
      <c r="U214" s="2">
        <f>'Multiple Regression Outputs'!$B$14+G214*'Multiple Regression Outputs'!$B$15+H214*'Multiple Regression Outputs'!$B$16+I214*'Multiple Regression Outputs'!$B$17+J214*'Multiple Regression Outputs'!$B$18+K214*'Multiple Regression Outputs'!$B$19+L214*'Multiple Regression Outputs'!$B$20+M214*'Multiple Regression Outputs'!$B$21+N214*'Multiple Regression Outputs'!$B$22+O214*'Multiple Regression Outputs'!$B$23+P214*'Multiple Regression Outputs'!$B$24+Q214*'Multiple Regression Outputs'!$B$25+R214*'Multiple Regression Outputs'!$B$26+S214*'Multiple Regression Outputs'!$B$27+T214*'Multiple Regression Outputs'!$B$28</f>
        <v>791117.28500648204</v>
      </c>
      <c r="V214" s="2">
        <f t="shared" si="3"/>
        <v>21035.314993517939</v>
      </c>
    </row>
    <row r="215" spans="1:22" ht="15" customHeight="1">
      <c r="A215" s="2">
        <v>214</v>
      </c>
      <c r="B215" s="2" t="s">
        <v>79</v>
      </c>
      <c r="C215" s="2" t="s">
        <v>18</v>
      </c>
      <c r="D215" s="2" t="s">
        <v>31</v>
      </c>
      <c r="E215" s="2" t="s">
        <v>17</v>
      </c>
      <c r="F215" s="2">
        <v>804975.5</v>
      </c>
      <c r="G215" s="2">
        <v>41819.449999999997</v>
      </c>
      <c r="H215" s="2">
        <v>9412</v>
      </c>
      <c r="I215" s="2">
        <v>0.15</v>
      </c>
      <c r="J215" s="2">
        <v>22</v>
      </c>
      <c r="K215" s="2">
        <v>91</v>
      </c>
      <c r="L215" s="2">
        <v>3.67</v>
      </c>
      <c r="M215" s="2">
        <v>0</v>
      </c>
      <c r="N215" s="2">
        <v>4.2</v>
      </c>
      <c r="O215" s="2">
        <v>0</v>
      </c>
      <c r="P215" s="2">
        <v>0</v>
      </c>
      <c r="Q215" s="2">
        <v>1</v>
      </c>
      <c r="R215" s="2">
        <v>0</v>
      </c>
      <c r="S215" s="2">
        <v>0</v>
      </c>
      <c r="T215" s="2">
        <v>1</v>
      </c>
      <c r="U215" s="2">
        <f>'Multiple Regression Outputs'!$B$14+G215*'Multiple Regression Outputs'!$B$15+H215*'Multiple Regression Outputs'!$B$16+I215*'Multiple Regression Outputs'!$B$17+J215*'Multiple Regression Outputs'!$B$18+K215*'Multiple Regression Outputs'!$B$19+L215*'Multiple Regression Outputs'!$B$20+M215*'Multiple Regression Outputs'!$B$21+N215*'Multiple Regression Outputs'!$B$22+O215*'Multiple Regression Outputs'!$B$23+P215*'Multiple Regression Outputs'!$B$24+Q215*'Multiple Regression Outputs'!$B$25+R215*'Multiple Regression Outputs'!$B$26+S215*'Multiple Regression Outputs'!$B$27+T215*'Multiple Regression Outputs'!$B$28</f>
        <v>764383.60531053087</v>
      </c>
      <c r="V215" s="2">
        <f t="shared" si="3"/>
        <v>40591.894689469133</v>
      </c>
    </row>
    <row r="216" spans="1:22" ht="15" customHeight="1">
      <c r="A216" s="2">
        <v>215</v>
      </c>
      <c r="B216" s="2" t="s">
        <v>79</v>
      </c>
      <c r="C216" s="2" t="s">
        <v>19</v>
      </c>
      <c r="D216" s="2" t="s">
        <v>31</v>
      </c>
      <c r="E216" s="2" t="s">
        <v>17</v>
      </c>
      <c r="F216" s="2">
        <v>752321.72</v>
      </c>
      <c r="G216" s="2">
        <v>35296.54</v>
      </c>
      <c r="H216" s="2">
        <v>9644</v>
      </c>
      <c r="I216" s="2">
        <v>0</v>
      </c>
      <c r="J216" s="2">
        <v>22</v>
      </c>
      <c r="K216" s="2">
        <v>88</v>
      </c>
      <c r="L216" s="2">
        <v>2.81</v>
      </c>
      <c r="M216" s="2">
        <v>0</v>
      </c>
      <c r="N216" s="2">
        <v>4.7</v>
      </c>
      <c r="O216" s="2">
        <v>0</v>
      </c>
      <c r="P216" s="2">
        <v>0</v>
      </c>
      <c r="Q216" s="2">
        <v>1</v>
      </c>
      <c r="R216" s="2">
        <v>0</v>
      </c>
      <c r="S216" s="2">
        <v>0</v>
      </c>
      <c r="T216" s="2">
        <v>1</v>
      </c>
      <c r="U216" s="2">
        <f>'Multiple Regression Outputs'!$B$14+G216*'Multiple Regression Outputs'!$B$15+H216*'Multiple Regression Outputs'!$B$16+I216*'Multiple Regression Outputs'!$B$17+J216*'Multiple Regression Outputs'!$B$18+K216*'Multiple Regression Outputs'!$B$19+L216*'Multiple Regression Outputs'!$B$20+M216*'Multiple Regression Outputs'!$B$21+N216*'Multiple Regression Outputs'!$B$22+O216*'Multiple Regression Outputs'!$B$23+P216*'Multiple Regression Outputs'!$B$24+Q216*'Multiple Regression Outputs'!$B$25+R216*'Multiple Regression Outputs'!$B$26+S216*'Multiple Regression Outputs'!$B$27+T216*'Multiple Regression Outputs'!$B$28</f>
        <v>769044.692771881</v>
      </c>
      <c r="V216" s="2">
        <f t="shared" si="3"/>
        <v>-16722.972771881032</v>
      </c>
    </row>
    <row r="217" spans="1:22" ht="15" customHeight="1">
      <c r="A217" s="2">
        <v>216</v>
      </c>
      <c r="B217" s="2" t="s">
        <v>79</v>
      </c>
      <c r="C217" s="2" t="s">
        <v>20</v>
      </c>
      <c r="D217" s="2" t="s">
        <v>31</v>
      </c>
      <c r="E217" s="2" t="s">
        <v>17</v>
      </c>
      <c r="F217" s="2">
        <v>836908.24</v>
      </c>
      <c r="G217" s="2">
        <v>47391.09</v>
      </c>
      <c r="H217" s="2">
        <v>11224</v>
      </c>
      <c r="I217" s="2">
        <v>0.14699999999999999</v>
      </c>
      <c r="J217" s="2">
        <v>25</v>
      </c>
      <c r="K217" s="2">
        <v>88.4</v>
      </c>
      <c r="L217" s="2">
        <v>2.44</v>
      </c>
      <c r="M217" s="2">
        <v>0</v>
      </c>
      <c r="N217" s="2">
        <v>4.9000000000000004</v>
      </c>
      <c r="O217" s="2">
        <v>0</v>
      </c>
      <c r="P217" s="2">
        <v>0</v>
      </c>
      <c r="Q217" s="2">
        <v>1</v>
      </c>
      <c r="R217" s="2">
        <v>0</v>
      </c>
      <c r="S217" s="2">
        <v>0</v>
      </c>
      <c r="T217" s="2">
        <v>1</v>
      </c>
      <c r="U217" s="2">
        <f>'Multiple Regression Outputs'!$B$14+G217*'Multiple Regression Outputs'!$B$15+H217*'Multiple Regression Outputs'!$B$16+I217*'Multiple Regression Outputs'!$B$17+J217*'Multiple Regression Outputs'!$B$18+K217*'Multiple Regression Outputs'!$B$19+L217*'Multiple Regression Outputs'!$B$20+M217*'Multiple Regression Outputs'!$B$21+N217*'Multiple Regression Outputs'!$B$22+O217*'Multiple Regression Outputs'!$B$23+P217*'Multiple Regression Outputs'!$B$24+Q217*'Multiple Regression Outputs'!$B$25+R217*'Multiple Regression Outputs'!$B$26+S217*'Multiple Regression Outputs'!$B$27+T217*'Multiple Regression Outputs'!$B$28</f>
        <v>836330.75213791092</v>
      </c>
      <c r="V217" s="2">
        <f t="shared" si="3"/>
        <v>577.48786208906677</v>
      </c>
    </row>
    <row r="218" spans="1:22" ht="15" customHeight="1">
      <c r="A218" s="2">
        <v>217</v>
      </c>
      <c r="B218" s="2" t="s">
        <v>80</v>
      </c>
      <c r="C218" s="2" t="s">
        <v>15</v>
      </c>
      <c r="D218" s="2" t="s">
        <v>24</v>
      </c>
      <c r="E218" s="2" t="s">
        <v>25</v>
      </c>
      <c r="F218" s="2">
        <v>674289.1</v>
      </c>
      <c r="G218" s="2">
        <v>69180.539999999994</v>
      </c>
      <c r="H218" s="2">
        <v>5394</v>
      </c>
      <c r="I218" s="2">
        <v>0.126</v>
      </c>
      <c r="J218" s="2">
        <v>12</v>
      </c>
      <c r="K218" s="2">
        <v>82.9</v>
      </c>
      <c r="L218" s="2">
        <v>3.27</v>
      </c>
      <c r="M218" s="2">
        <v>0</v>
      </c>
      <c r="N218" s="2">
        <v>3.3</v>
      </c>
      <c r="O218" s="2">
        <v>0</v>
      </c>
      <c r="P218" s="2">
        <v>0</v>
      </c>
      <c r="Q218" s="2">
        <v>0</v>
      </c>
      <c r="R218" s="2">
        <v>1</v>
      </c>
      <c r="S218" s="2">
        <v>0</v>
      </c>
      <c r="T218" s="2">
        <v>0</v>
      </c>
      <c r="U218" s="2">
        <f>'Multiple Regression Outputs'!$B$14+G218*'Multiple Regression Outputs'!$B$15+H218*'Multiple Regression Outputs'!$B$16+I218*'Multiple Regression Outputs'!$B$17+J218*'Multiple Regression Outputs'!$B$18+K218*'Multiple Regression Outputs'!$B$19+L218*'Multiple Regression Outputs'!$B$20+M218*'Multiple Regression Outputs'!$B$21+N218*'Multiple Regression Outputs'!$B$22+O218*'Multiple Regression Outputs'!$B$23+P218*'Multiple Regression Outputs'!$B$24+Q218*'Multiple Regression Outputs'!$B$25+R218*'Multiple Regression Outputs'!$B$26+S218*'Multiple Regression Outputs'!$B$27+T218*'Multiple Regression Outputs'!$B$28</f>
        <v>648222.79511227843</v>
      </c>
      <c r="V218" s="2">
        <f t="shared" si="3"/>
        <v>26066.304887721548</v>
      </c>
    </row>
    <row r="219" spans="1:22" ht="15" customHeight="1">
      <c r="A219" s="2">
        <v>218</v>
      </c>
      <c r="B219" s="2" t="s">
        <v>80</v>
      </c>
      <c r="C219" s="2" t="s">
        <v>18</v>
      </c>
      <c r="D219" s="2" t="s">
        <v>24</v>
      </c>
      <c r="E219" s="2" t="s">
        <v>25</v>
      </c>
      <c r="F219" s="2">
        <v>622892.42000000004</v>
      </c>
      <c r="G219" s="2">
        <v>33987.33</v>
      </c>
      <c r="H219" s="2">
        <v>5014</v>
      </c>
      <c r="I219" s="2">
        <v>0.246</v>
      </c>
      <c r="J219" s="2">
        <v>17</v>
      </c>
      <c r="K219" s="2">
        <v>94.3</v>
      </c>
      <c r="L219" s="2">
        <v>10.34</v>
      </c>
      <c r="M219" s="2">
        <v>0</v>
      </c>
      <c r="N219" s="2">
        <v>3.9</v>
      </c>
      <c r="O219" s="2">
        <v>0</v>
      </c>
      <c r="P219" s="2">
        <v>0</v>
      </c>
      <c r="Q219" s="2">
        <v>0</v>
      </c>
      <c r="R219" s="2">
        <v>1</v>
      </c>
      <c r="S219" s="2">
        <v>0</v>
      </c>
      <c r="T219" s="2">
        <v>0</v>
      </c>
      <c r="U219" s="2">
        <f>'Multiple Regression Outputs'!$B$14+G219*'Multiple Regression Outputs'!$B$15+H219*'Multiple Regression Outputs'!$B$16+I219*'Multiple Regression Outputs'!$B$17+J219*'Multiple Regression Outputs'!$B$18+K219*'Multiple Regression Outputs'!$B$19+L219*'Multiple Regression Outputs'!$B$20+M219*'Multiple Regression Outputs'!$B$21+N219*'Multiple Regression Outputs'!$B$22+O219*'Multiple Regression Outputs'!$B$23+P219*'Multiple Regression Outputs'!$B$24+Q219*'Multiple Regression Outputs'!$B$25+R219*'Multiple Regression Outputs'!$B$26+S219*'Multiple Regression Outputs'!$B$27+T219*'Multiple Regression Outputs'!$B$28</f>
        <v>625954.04264517396</v>
      </c>
      <c r="V219" s="2">
        <f t="shared" si="3"/>
        <v>-3061.6226451739203</v>
      </c>
    </row>
    <row r="220" spans="1:22" ht="15" customHeight="1">
      <c r="A220" s="2">
        <v>219</v>
      </c>
      <c r="B220" s="2" t="s">
        <v>80</v>
      </c>
      <c r="C220" s="2" t="s">
        <v>19</v>
      </c>
      <c r="D220" s="2" t="s">
        <v>24</v>
      </c>
      <c r="E220" s="2" t="s">
        <v>25</v>
      </c>
      <c r="F220" s="2">
        <v>673348.56</v>
      </c>
      <c r="G220" s="2">
        <v>58785.33</v>
      </c>
      <c r="H220" s="2">
        <v>4467</v>
      </c>
      <c r="I220" s="2">
        <v>0.22900000000000001</v>
      </c>
      <c r="J220" s="2">
        <v>14</v>
      </c>
      <c r="K220" s="2">
        <v>90.7</v>
      </c>
      <c r="L220" s="2">
        <v>1.92</v>
      </c>
      <c r="M220" s="2">
        <v>0</v>
      </c>
      <c r="N220" s="2">
        <v>3.7</v>
      </c>
      <c r="O220" s="2">
        <v>0</v>
      </c>
      <c r="P220" s="2">
        <v>0</v>
      </c>
      <c r="Q220" s="2">
        <v>0</v>
      </c>
      <c r="R220" s="2">
        <v>1</v>
      </c>
      <c r="S220" s="2">
        <v>0</v>
      </c>
      <c r="T220" s="2">
        <v>0</v>
      </c>
      <c r="U220" s="2">
        <f>'Multiple Regression Outputs'!$B$14+G220*'Multiple Regression Outputs'!$B$15+H220*'Multiple Regression Outputs'!$B$16+I220*'Multiple Regression Outputs'!$B$17+J220*'Multiple Regression Outputs'!$B$18+K220*'Multiple Regression Outputs'!$B$19+L220*'Multiple Regression Outputs'!$B$20+M220*'Multiple Regression Outputs'!$B$21+N220*'Multiple Regression Outputs'!$B$22+O220*'Multiple Regression Outputs'!$B$23+P220*'Multiple Regression Outputs'!$B$24+Q220*'Multiple Regression Outputs'!$B$25+R220*'Multiple Regression Outputs'!$B$26+S220*'Multiple Regression Outputs'!$B$27+T220*'Multiple Regression Outputs'!$B$28</f>
        <v>646603.90618339751</v>
      </c>
      <c r="V220" s="2">
        <f t="shared" si="3"/>
        <v>26744.653816602542</v>
      </c>
    </row>
    <row r="221" spans="1:22" ht="15" customHeight="1">
      <c r="A221" s="2">
        <v>220</v>
      </c>
      <c r="B221" s="2" t="s">
        <v>80</v>
      </c>
      <c r="C221" s="2" t="s">
        <v>20</v>
      </c>
      <c r="D221" s="2" t="s">
        <v>24</v>
      </c>
      <c r="E221" s="2" t="s">
        <v>25</v>
      </c>
      <c r="F221" s="2">
        <v>606278.30000000005</v>
      </c>
      <c r="G221" s="2">
        <v>16451.849999999999</v>
      </c>
      <c r="H221" s="2">
        <v>4678</v>
      </c>
      <c r="I221" s="2">
        <v>0.13300000000000001</v>
      </c>
      <c r="J221" s="2">
        <v>11</v>
      </c>
      <c r="K221" s="2">
        <v>95.9</v>
      </c>
      <c r="L221" s="2">
        <v>3.1</v>
      </c>
      <c r="M221" s="2">
        <v>0</v>
      </c>
      <c r="N221" s="2">
        <v>3.9</v>
      </c>
      <c r="O221" s="2">
        <v>0</v>
      </c>
      <c r="P221" s="2">
        <v>0</v>
      </c>
      <c r="Q221" s="2">
        <v>0</v>
      </c>
      <c r="R221" s="2">
        <v>1</v>
      </c>
      <c r="S221" s="2">
        <v>0</v>
      </c>
      <c r="T221" s="2">
        <v>0</v>
      </c>
      <c r="U221" s="2">
        <f>'Multiple Regression Outputs'!$B$14+G221*'Multiple Regression Outputs'!$B$15+H221*'Multiple Regression Outputs'!$B$16+I221*'Multiple Regression Outputs'!$B$17+J221*'Multiple Regression Outputs'!$B$18+K221*'Multiple Regression Outputs'!$B$19+L221*'Multiple Regression Outputs'!$B$20+M221*'Multiple Regression Outputs'!$B$21+N221*'Multiple Regression Outputs'!$B$22+O221*'Multiple Regression Outputs'!$B$23+P221*'Multiple Regression Outputs'!$B$24+Q221*'Multiple Regression Outputs'!$B$25+R221*'Multiple Regression Outputs'!$B$26+S221*'Multiple Regression Outputs'!$B$27+T221*'Multiple Regression Outputs'!$B$28</f>
        <v>608953.92287891055</v>
      </c>
      <c r="V221" s="2">
        <f t="shared" si="3"/>
        <v>-2675.622878910508</v>
      </c>
    </row>
    <row r="222" spans="1:22" ht="15" customHeight="1">
      <c r="A222" s="2">
        <v>221</v>
      </c>
      <c r="B222" s="2" t="s">
        <v>81</v>
      </c>
      <c r="C222" s="2" t="s">
        <v>15</v>
      </c>
      <c r="D222" s="2" t="s">
        <v>16</v>
      </c>
      <c r="E222" s="2" t="s">
        <v>22</v>
      </c>
      <c r="F222" s="2">
        <v>712219.81</v>
      </c>
      <c r="G222" s="2">
        <v>53367.73</v>
      </c>
      <c r="H222" s="2">
        <v>7291</v>
      </c>
      <c r="I222" s="2">
        <v>0.14599999999999999</v>
      </c>
      <c r="J222" s="2">
        <v>18</v>
      </c>
      <c r="K222" s="2">
        <v>90.6</v>
      </c>
      <c r="L222" s="2">
        <v>6.34</v>
      </c>
      <c r="M222" s="2">
        <v>1</v>
      </c>
      <c r="N222" s="2">
        <v>3.8</v>
      </c>
      <c r="O222" s="2">
        <v>1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f>'Multiple Regression Outputs'!$B$14+G222*'Multiple Regression Outputs'!$B$15+H222*'Multiple Regression Outputs'!$B$16+I222*'Multiple Regression Outputs'!$B$17+J222*'Multiple Regression Outputs'!$B$18+K222*'Multiple Regression Outputs'!$B$19+L222*'Multiple Regression Outputs'!$B$20+M222*'Multiple Regression Outputs'!$B$21+N222*'Multiple Regression Outputs'!$B$22+O222*'Multiple Regression Outputs'!$B$23+P222*'Multiple Regression Outputs'!$B$24+Q222*'Multiple Regression Outputs'!$B$25+R222*'Multiple Regression Outputs'!$B$26+S222*'Multiple Regression Outputs'!$B$27+T222*'Multiple Regression Outputs'!$B$28</f>
        <v>701184.2157451415</v>
      </c>
      <c r="V222" s="2">
        <f t="shared" si="3"/>
        <v>11035.594254858559</v>
      </c>
    </row>
    <row r="223" spans="1:22" ht="15" customHeight="1">
      <c r="A223" s="2">
        <v>222</v>
      </c>
      <c r="B223" s="2" t="s">
        <v>81</v>
      </c>
      <c r="C223" s="2" t="s">
        <v>18</v>
      </c>
      <c r="D223" s="2" t="s">
        <v>16</v>
      </c>
      <c r="E223" s="2" t="s">
        <v>22</v>
      </c>
      <c r="F223" s="2">
        <v>672670.54</v>
      </c>
      <c r="G223" s="2">
        <v>27194.639999999999</v>
      </c>
      <c r="H223" s="2">
        <v>7404</v>
      </c>
      <c r="I223" s="2">
        <v>8.7999999999999995E-2</v>
      </c>
      <c r="J223" s="2">
        <v>18</v>
      </c>
      <c r="K223" s="2">
        <v>90.2</v>
      </c>
      <c r="L223" s="2">
        <v>1.2</v>
      </c>
      <c r="M223" s="2">
        <v>0</v>
      </c>
      <c r="N223" s="2">
        <v>3.4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f>'Multiple Regression Outputs'!$B$14+G223*'Multiple Regression Outputs'!$B$15+H223*'Multiple Regression Outputs'!$B$16+I223*'Multiple Regression Outputs'!$B$17+J223*'Multiple Regression Outputs'!$B$18+K223*'Multiple Regression Outputs'!$B$19+L223*'Multiple Regression Outputs'!$B$20+M223*'Multiple Regression Outputs'!$B$21+N223*'Multiple Regression Outputs'!$B$22+O223*'Multiple Regression Outputs'!$B$23+P223*'Multiple Regression Outputs'!$B$24+Q223*'Multiple Regression Outputs'!$B$25+R223*'Multiple Regression Outputs'!$B$26+S223*'Multiple Regression Outputs'!$B$27+T223*'Multiple Regression Outputs'!$B$28</f>
        <v>671283.65981614159</v>
      </c>
      <c r="V223" s="2">
        <f t="shared" si="3"/>
        <v>1386.8801838584477</v>
      </c>
    </row>
    <row r="224" spans="1:22" ht="15" customHeight="1">
      <c r="A224" s="2">
        <v>223</v>
      </c>
      <c r="B224" s="2" t="s">
        <v>81</v>
      </c>
      <c r="C224" s="2" t="s">
        <v>19</v>
      </c>
      <c r="D224" s="2" t="s">
        <v>16</v>
      </c>
      <c r="E224" s="2" t="s">
        <v>22</v>
      </c>
      <c r="F224" s="2">
        <v>732667.92</v>
      </c>
      <c r="G224" s="2">
        <v>66962.740000000005</v>
      </c>
      <c r="H224" s="2">
        <v>7880</v>
      </c>
      <c r="I224" s="2">
        <v>0.11600000000000001</v>
      </c>
      <c r="J224" s="2">
        <v>19</v>
      </c>
      <c r="K224" s="2">
        <v>90.4</v>
      </c>
      <c r="L224" s="2">
        <v>4.5</v>
      </c>
      <c r="M224" s="2">
        <v>0</v>
      </c>
      <c r="N224" s="2">
        <v>3.3</v>
      </c>
      <c r="O224" s="2">
        <v>1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f>'Multiple Regression Outputs'!$B$14+G224*'Multiple Regression Outputs'!$B$15+H224*'Multiple Regression Outputs'!$B$16+I224*'Multiple Regression Outputs'!$B$17+J224*'Multiple Regression Outputs'!$B$18+K224*'Multiple Regression Outputs'!$B$19+L224*'Multiple Regression Outputs'!$B$20+M224*'Multiple Regression Outputs'!$B$21+N224*'Multiple Regression Outputs'!$B$22+O224*'Multiple Regression Outputs'!$B$23+P224*'Multiple Regression Outputs'!$B$24+Q224*'Multiple Regression Outputs'!$B$25+R224*'Multiple Regression Outputs'!$B$26+S224*'Multiple Regression Outputs'!$B$27+T224*'Multiple Regression Outputs'!$B$28</f>
        <v>722781.57663185359</v>
      </c>
      <c r="V224" s="2">
        <f t="shared" si="3"/>
        <v>9886.3433681464521</v>
      </c>
    </row>
    <row r="225" spans="1:22" ht="15" customHeight="1">
      <c r="A225" s="2">
        <v>224</v>
      </c>
      <c r="B225" s="2" t="s">
        <v>81</v>
      </c>
      <c r="C225" s="2" t="s">
        <v>20</v>
      </c>
      <c r="D225" s="2" t="s">
        <v>16</v>
      </c>
      <c r="E225" s="2" t="s">
        <v>22</v>
      </c>
      <c r="F225" s="2">
        <v>723531.4</v>
      </c>
      <c r="G225" s="2">
        <v>73540.990000000005</v>
      </c>
      <c r="H225" s="2">
        <v>8773</v>
      </c>
      <c r="I225" s="2">
        <v>3.5000000000000003E-2</v>
      </c>
      <c r="J225" s="2">
        <v>21</v>
      </c>
      <c r="K225" s="2">
        <v>84.4</v>
      </c>
      <c r="L225" s="2">
        <v>6.68</v>
      </c>
      <c r="M225" s="2">
        <v>0</v>
      </c>
      <c r="N225" s="2">
        <v>3.6</v>
      </c>
      <c r="O225" s="2">
        <v>1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f>'Multiple Regression Outputs'!$B$14+G225*'Multiple Regression Outputs'!$B$15+H225*'Multiple Regression Outputs'!$B$16+I225*'Multiple Regression Outputs'!$B$17+J225*'Multiple Regression Outputs'!$B$18+K225*'Multiple Regression Outputs'!$B$19+L225*'Multiple Regression Outputs'!$B$20+M225*'Multiple Regression Outputs'!$B$21+N225*'Multiple Regression Outputs'!$B$22+O225*'Multiple Regression Outputs'!$B$23+P225*'Multiple Regression Outputs'!$B$24+Q225*'Multiple Regression Outputs'!$B$25+R225*'Multiple Regression Outputs'!$B$26+S225*'Multiple Regression Outputs'!$B$27+T225*'Multiple Regression Outputs'!$B$28</f>
        <v>743394.0055214226</v>
      </c>
      <c r="V225" s="2">
        <f t="shared" si="3"/>
        <v>-19862.605521422578</v>
      </c>
    </row>
    <row r="226" spans="1:22" ht="15" customHeight="1">
      <c r="A226" s="2">
        <v>225</v>
      </c>
      <c r="B226" s="2" t="s">
        <v>82</v>
      </c>
      <c r="C226" s="2" t="s">
        <v>15</v>
      </c>
      <c r="D226" s="2" t="s">
        <v>16</v>
      </c>
      <c r="E226" s="2" t="s">
        <v>32</v>
      </c>
      <c r="F226" s="2">
        <v>641564.6</v>
      </c>
      <c r="G226" s="2">
        <v>68212.289999999994</v>
      </c>
      <c r="H226" s="2">
        <v>4713</v>
      </c>
      <c r="I226" s="2">
        <v>0.19800000000000001</v>
      </c>
      <c r="J226" s="2">
        <v>15</v>
      </c>
      <c r="K226" s="2">
        <v>82.6</v>
      </c>
      <c r="L226" s="2">
        <v>4.07</v>
      </c>
      <c r="M226" s="2">
        <v>1</v>
      </c>
      <c r="N226" s="2">
        <v>3</v>
      </c>
      <c r="O226" s="2">
        <v>0</v>
      </c>
      <c r="P226" s="2">
        <v>1</v>
      </c>
      <c r="Q226" s="2">
        <v>0</v>
      </c>
      <c r="R226" s="2">
        <v>0</v>
      </c>
      <c r="S226" s="2">
        <v>0</v>
      </c>
      <c r="T226" s="2">
        <v>0</v>
      </c>
      <c r="U226" s="2">
        <f>'Multiple Regression Outputs'!$B$14+G226*'Multiple Regression Outputs'!$B$15+H226*'Multiple Regression Outputs'!$B$16+I226*'Multiple Regression Outputs'!$B$17+J226*'Multiple Regression Outputs'!$B$18+K226*'Multiple Regression Outputs'!$B$19+L226*'Multiple Regression Outputs'!$B$20+M226*'Multiple Regression Outputs'!$B$21+N226*'Multiple Regression Outputs'!$B$22+O226*'Multiple Regression Outputs'!$B$23+P226*'Multiple Regression Outputs'!$B$24+Q226*'Multiple Regression Outputs'!$B$25+R226*'Multiple Regression Outputs'!$B$26+S226*'Multiple Regression Outputs'!$B$27+T226*'Multiple Regression Outputs'!$B$28</f>
        <v>621915.36844343832</v>
      </c>
      <c r="V226" s="2">
        <f t="shared" si="3"/>
        <v>19649.231556561659</v>
      </c>
    </row>
    <row r="227" spans="1:22" ht="15" customHeight="1">
      <c r="A227" s="2">
        <v>226</v>
      </c>
      <c r="B227" s="2" t="s">
        <v>82</v>
      </c>
      <c r="C227" s="2" t="s">
        <v>18</v>
      </c>
      <c r="D227" s="2" t="s">
        <v>16</v>
      </c>
      <c r="E227" s="2" t="s">
        <v>32</v>
      </c>
      <c r="F227" s="2">
        <v>536545.49</v>
      </c>
      <c r="G227" s="2">
        <v>57225.98</v>
      </c>
      <c r="H227" s="2">
        <v>2842</v>
      </c>
      <c r="I227" s="2">
        <v>0.112</v>
      </c>
      <c r="J227" s="2">
        <v>10</v>
      </c>
      <c r="K227" s="2">
        <v>79.5</v>
      </c>
      <c r="L227" s="2">
        <v>5.45</v>
      </c>
      <c r="M227" s="2">
        <v>0</v>
      </c>
      <c r="N227" s="2">
        <v>3.4</v>
      </c>
      <c r="O227" s="2">
        <v>0</v>
      </c>
      <c r="P227" s="2">
        <v>1</v>
      </c>
      <c r="Q227" s="2">
        <v>0</v>
      </c>
      <c r="R227" s="2">
        <v>0</v>
      </c>
      <c r="S227" s="2">
        <v>0</v>
      </c>
      <c r="T227" s="2">
        <v>0</v>
      </c>
      <c r="U227" s="2">
        <f>'Multiple Regression Outputs'!$B$14+G227*'Multiple Regression Outputs'!$B$15+H227*'Multiple Regression Outputs'!$B$16+I227*'Multiple Regression Outputs'!$B$17+J227*'Multiple Regression Outputs'!$B$18+K227*'Multiple Regression Outputs'!$B$19+L227*'Multiple Regression Outputs'!$B$20+M227*'Multiple Regression Outputs'!$B$21+N227*'Multiple Regression Outputs'!$B$22+O227*'Multiple Regression Outputs'!$B$23+P227*'Multiple Regression Outputs'!$B$24+Q227*'Multiple Regression Outputs'!$B$25+R227*'Multiple Regression Outputs'!$B$26+S227*'Multiple Regression Outputs'!$B$27+T227*'Multiple Regression Outputs'!$B$28</f>
        <v>519090.66987326223</v>
      </c>
      <c r="V227" s="2">
        <f t="shared" si="3"/>
        <v>17454.820126737759</v>
      </c>
    </row>
    <row r="228" spans="1:22" ht="15" customHeight="1">
      <c r="A228" s="2">
        <v>227</v>
      </c>
      <c r="B228" s="2" t="s">
        <v>82</v>
      </c>
      <c r="C228" s="2" t="s">
        <v>19</v>
      </c>
      <c r="D228" s="2" t="s">
        <v>16</v>
      </c>
      <c r="E228" s="2" t="s">
        <v>32</v>
      </c>
      <c r="F228" s="2">
        <v>527681.56000000006</v>
      </c>
      <c r="G228" s="2">
        <v>42932.02</v>
      </c>
      <c r="H228" s="2">
        <v>3872</v>
      </c>
      <c r="I228" s="2">
        <v>0.17100000000000001</v>
      </c>
      <c r="J228" s="2">
        <v>12</v>
      </c>
      <c r="K228" s="2">
        <v>83.2</v>
      </c>
      <c r="L228" s="2">
        <v>15.58</v>
      </c>
      <c r="M228" s="2">
        <v>0</v>
      </c>
      <c r="N228" s="2">
        <v>3.3</v>
      </c>
      <c r="O228" s="2">
        <v>0</v>
      </c>
      <c r="P228" s="2">
        <v>1</v>
      </c>
      <c r="Q228" s="2">
        <v>0</v>
      </c>
      <c r="R228" s="2">
        <v>0</v>
      </c>
      <c r="S228" s="2">
        <v>0</v>
      </c>
      <c r="T228" s="2">
        <v>0</v>
      </c>
      <c r="U228" s="2">
        <f>'Multiple Regression Outputs'!$B$14+G228*'Multiple Regression Outputs'!$B$15+H228*'Multiple Regression Outputs'!$B$16+I228*'Multiple Regression Outputs'!$B$17+J228*'Multiple Regression Outputs'!$B$18+K228*'Multiple Regression Outputs'!$B$19+L228*'Multiple Regression Outputs'!$B$20+M228*'Multiple Regression Outputs'!$B$21+N228*'Multiple Regression Outputs'!$B$22+O228*'Multiple Regression Outputs'!$B$23+P228*'Multiple Regression Outputs'!$B$24+Q228*'Multiple Regression Outputs'!$B$25+R228*'Multiple Regression Outputs'!$B$26+S228*'Multiple Regression Outputs'!$B$27+T228*'Multiple Regression Outputs'!$B$28</f>
        <v>509786.93240444141</v>
      </c>
      <c r="V228" s="2">
        <f t="shared" si="3"/>
        <v>17894.627595558646</v>
      </c>
    </row>
    <row r="229" spans="1:22" ht="15" customHeight="1">
      <c r="A229" s="2">
        <v>228</v>
      </c>
      <c r="B229" s="2" t="s">
        <v>82</v>
      </c>
      <c r="C229" s="2" t="s">
        <v>20</v>
      </c>
      <c r="D229" s="2" t="s">
        <v>16</v>
      </c>
      <c r="E229" s="2" t="s">
        <v>32</v>
      </c>
      <c r="F229" s="2">
        <v>529598.93999999994</v>
      </c>
      <c r="G229" s="2">
        <v>39341.449999999997</v>
      </c>
      <c r="H229" s="2">
        <v>1375</v>
      </c>
      <c r="I229" s="2">
        <v>9.2999999999999999E-2</v>
      </c>
      <c r="J229" s="2">
        <v>5</v>
      </c>
      <c r="K229" s="2">
        <v>95</v>
      </c>
      <c r="L229" s="2">
        <v>5.32</v>
      </c>
      <c r="M229" s="2">
        <v>0</v>
      </c>
      <c r="N229" s="2">
        <v>3.9</v>
      </c>
      <c r="O229" s="2">
        <v>0</v>
      </c>
      <c r="P229" s="2">
        <v>1</v>
      </c>
      <c r="Q229" s="2">
        <v>0</v>
      </c>
      <c r="R229" s="2">
        <v>0</v>
      </c>
      <c r="S229" s="2">
        <v>0</v>
      </c>
      <c r="T229" s="2">
        <v>0</v>
      </c>
      <c r="U229" s="2">
        <f>'Multiple Regression Outputs'!$B$14+G229*'Multiple Regression Outputs'!$B$15+H229*'Multiple Regression Outputs'!$B$16+I229*'Multiple Regression Outputs'!$B$17+J229*'Multiple Regression Outputs'!$B$18+K229*'Multiple Regression Outputs'!$B$19+L229*'Multiple Regression Outputs'!$B$20+M229*'Multiple Regression Outputs'!$B$21+N229*'Multiple Regression Outputs'!$B$22+O229*'Multiple Regression Outputs'!$B$23+P229*'Multiple Regression Outputs'!$B$24+Q229*'Multiple Regression Outputs'!$B$25+R229*'Multiple Regression Outputs'!$B$26+S229*'Multiple Regression Outputs'!$B$27+T229*'Multiple Regression Outputs'!$B$28</f>
        <v>494757.03778218734</v>
      </c>
      <c r="V229" s="2">
        <f t="shared" si="3"/>
        <v>34841.902217812603</v>
      </c>
    </row>
    <row r="230" spans="1:22" ht="15" customHeight="1">
      <c r="A230" s="2">
        <v>229</v>
      </c>
      <c r="B230" s="2" t="s">
        <v>83</v>
      </c>
      <c r="C230" s="2" t="s">
        <v>15</v>
      </c>
      <c r="D230" s="2" t="s">
        <v>16</v>
      </c>
      <c r="E230" s="2" t="s">
        <v>22</v>
      </c>
      <c r="F230" s="2">
        <v>570963.31000000006</v>
      </c>
      <c r="G230" s="2">
        <v>37324.230000000003</v>
      </c>
      <c r="H230" s="2">
        <v>5957</v>
      </c>
      <c r="I230" s="2">
        <v>7.0999999999999994E-2</v>
      </c>
      <c r="J230" s="2">
        <v>12</v>
      </c>
      <c r="K230" s="2">
        <v>85.9</v>
      </c>
      <c r="L230" s="2">
        <v>0.37</v>
      </c>
      <c r="M230" s="2">
        <v>0</v>
      </c>
      <c r="N230" s="2">
        <v>3.8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f>'Multiple Regression Outputs'!$B$14+G230*'Multiple Regression Outputs'!$B$15+H230*'Multiple Regression Outputs'!$B$16+I230*'Multiple Regression Outputs'!$B$17+J230*'Multiple Regression Outputs'!$B$18+K230*'Multiple Regression Outputs'!$B$19+L230*'Multiple Regression Outputs'!$B$20+M230*'Multiple Regression Outputs'!$B$21+N230*'Multiple Regression Outputs'!$B$22+O230*'Multiple Regression Outputs'!$B$23+P230*'Multiple Regression Outputs'!$B$24+Q230*'Multiple Regression Outputs'!$B$25+R230*'Multiple Regression Outputs'!$B$26+S230*'Multiple Regression Outputs'!$B$27+T230*'Multiple Regression Outputs'!$B$28</f>
        <v>618324.91388172237</v>
      </c>
      <c r="V230" s="2">
        <f t="shared" si="3"/>
        <v>-47361.603881722316</v>
      </c>
    </row>
    <row r="231" spans="1:22" ht="15" customHeight="1">
      <c r="A231" s="2">
        <v>230</v>
      </c>
      <c r="B231" s="2" t="s">
        <v>83</v>
      </c>
      <c r="C231" s="2" t="s">
        <v>18</v>
      </c>
      <c r="D231" s="2" t="s">
        <v>16</v>
      </c>
      <c r="E231" s="2" t="s">
        <v>22</v>
      </c>
      <c r="F231" s="2">
        <v>870937.4</v>
      </c>
      <c r="G231" s="2">
        <v>113736</v>
      </c>
      <c r="H231" s="2">
        <v>8961</v>
      </c>
      <c r="I231" s="2">
        <v>0.20200000000000001</v>
      </c>
      <c r="J231" s="2">
        <v>24</v>
      </c>
      <c r="K231" s="2">
        <v>86.2</v>
      </c>
      <c r="L231" s="2">
        <v>21.63</v>
      </c>
      <c r="M231" s="2">
        <v>0</v>
      </c>
      <c r="N231" s="2">
        <v>4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f>'Multiple Regression Outputs'!$B$14+G231*'Multiple Regression Outputs'!$B$15+H231*'Multiple Regression Outputs'!$B$16+I231*'Multiple Regression Outputs'!$B$17+J231*'Multiple Regression Outputs'!$B$18+K231*'Multiple Regression Outputs'!$B$19+L231*'Multiple Regression Outputs'!$B$20+M231*'Multiple Regression Outputs'!$B$21+N231*'Multiple Regression Outputs'!$B$22+O231*'Multiple Regression Outputs'!$B$23+P231*'Multiple Regression Outputs'!$B$24+Q231*'Multiple Regression Outputs'!$B$25+R231*'Multiple Regression Outputs'!$B$26+S231*'Multiple Regression Outputs'!$B$27+T231*'Multiple Regression Outputs'!$B$28</f>
        <v>759919.93939551071</v>
      </c>
      <c r="V231" s="2">
        <f t="shared" si="3"/>
        <v>111017.46060448932</v>
      </c>
    </row>
    <row r="232" spans="1:22" ht="15" customHeight="1">
      <c r="A232" s="2">
        <v>231</v>
      </c>
      <c r="B232" s="2" t="s">
        <v>83</v>
      </c>
      <c r="C232" s="2" t="s">
        <v>19</v>
      </c>
      <c r="D232" s="2" t="s">
        <v>16</v>
      </c>
      <c r="E232" s="2" t="s">
        <v>22</v>
      </c>
      <c r="F232" s="2">
        <v>596969.27</v>
      </c>
      <c r="G232" s="2">
        <v>33173.949999999997</v>
      </c>
      <c r="H232" s="2">
        <v>6545</v>
      </c>
      <c r="I232" s="2">
        <v>0.16900000000000001</v>
      </c>
      <c r="J232" s="2">
        <v>15</v>
      </c>
      <c r="K232" s="2">
        <v>84.4</v>
      </c>
      <c r="L232" s="2">
        <v>2.48</v>
      </c>
      <c r="M232" s="2">
        <v>0</v>
      </c>
      <c r="N232" s="2">
        <v>3.9</v>
      </c>
      <c r="O232" s="2">
        <v>1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f>'Multiple Regression Outputs'!$B$14+G232*'Multiple Regression Outputs'!$B$15+H232*'Multiple Regression Outputs'!$B$16+I232*'Multiple Regression Outputs'!$B$17+J232*'Multiple Regression Outputs'!$B$18+K232*'Multiple Regression Outputs'!$B$19+L232*'Multiple Regression Outputs'!$B$20+M232*'Multiple Regression Outputs'!$B$21+N232*'Multiple Regression Outputs'!$B$22+O232*'Multiple Regression Outputs'!$B$23+P232*'Multiple Regression Outputs'!$B$24+Q232*'Multiple Regression Outputs'!$B$25+R232*'Multiple Regression Outputs'!$B$26+S232*'Multiple Regression Outputs'!$B$27+T232*'Multiple Regression Outputs'!$B$28</f>
        <v>625263.64632713073</v>
      </c>
      <c r="V232" s="2">
        <f t="shared" si="3"/>
        <v>-28294.376327130711</v>
      </c>
    </row>
    <row r="233" spans="1:22" ht="15" customHeight="1">
      <c r="A233" s="2">
        <v>232</v>
      </c>
      <c r="B233" s="2" t="s">
        <v>83</v>
      </c>
      <c r="C233" s="2" t="s">
        <v>20</v>
      </c>
      <c r="D233" s="2" t="s">
        <v>16</v>
      </c>
      <c r="E233" s="2" t="s">
        <v>22</v>
      </c>
      <c r="F233" s="2">
        <v>647512.85</v>
      </c>
      <c r="G233" s="2">
        <v>25818.080000000002</v>
      </c>
      <c r="H233" s="2">
        <v>5457</v>
      </c>
      <c r="I233" s="2">
        <v>0</v>
      </c>
      <c r="J233" s="2">
        <v>11</v>
      </c>
      <c r="K233" s="2">
        <v>95.4</v>
      </c>
      <c r="L233" s="2">
        <v>3.3650000000000002</v>
      </c>
      <c r="M233" s="2">
        <v>0</v>
      </c>
      <c r="N233" s="2">
        <v>3.7</v>
      </c>
      <c r="O233" s="2">
        <v>1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f>'Multiple Regression Outputs'!$B$14+G233*'Multiple Regression Outputs'!$B$15+H233*'Multiple Regression Outputs'!$B$16+I233*'Multiple Regression Outputs'!$B$17+J233*'Multiple Regression Outputs'!$B$18+K233*'Multiple Regression Outputs'!$B$19+L233*'Multiple Regression Outputs'!$B$20+M233*'Multiple Regression Outputs'!$B$21+N233*'Multiple Regression Outputs'!$B$22+O233*'Multiple Regression Outputs'!$B$23+P233*'Multiple Regression Outputs'!$B$24+Q233*'Multiple Regression Outputs'!$B$25+R233*'Multiple Regression Outputs'!$B$26+S233*'Multiple Regression Outputs'!$B$27+T233*'Multiple Regression Outputs'!$B$28</f>
        <v>607697.98054916796</v>
      </c>
      <c r="V233" s="2">
        <f t="shared" si="3"/>
        <v>39814.869450832019</v>
      </c>
    </row>
    <row r="234" spans="1:22" ht="15" customHeight="1">
      <c r="A234" s="2">
        <v>233</v>
      </c>
      <c r="B234" s="2" t="s">
        <v>84</v>
      </c>
      <c r="C234" s="2" t="s">
        <v>15</v>
      </c>
      <c r="D234" s="2" t="s">
        <v>31</v>
      </c>
      <c r="E234" s="2" t="s">
        <v>17</v>
      </c>
      <c r="F234" s="2">
        <v>658072.14</v>
      </c>
      <c r="G234" s="2">
        <v>47241.919999999998</v>
      </c>
      <c r="H234" s="2">
        <v>4264</v>
      </c>
      <c r="I234" s="2">
        <v>6.9000000000000006E-2</v>
      </c>
      <c r="J234" s="2">
        <v>13</v>
      </c>
      <c r="K234" s="2">
        <v>95.3</v>
      </c>
      <c r="L234" s="2">
        <v>0.85</v>
      </c>
      <c r="M234" s="2">
        <v>0</v>
      </c>
      <c r="N234" s="2">
        <v>4.3</v>
      </c>
      <c r="O234" s="2">
        <v>0</v>
      </c>
      <c r="P234" s="2">
        <v>0</v>
      </c>
      <c r="Q234" s="2">
        <v>1</v>
      </c>
      <c r="R234" s="2">
        <v>0</v>
      </c>
      <c r="S234" s="2">
        <v>0</v>
      </c>
      <c r="T234" s="2">
        <v>1</v>
      </c>
      <c r="U234" s="2">
        <f>'Multiple Regression Outputs'!$B$14+G234*'Multiple Regression Outputs'!$B$15+H234*'Multiple Regression Outputs'!$B$16+I234*'Multiple Regression Outputs'!$B$17+J234*'Multiple Regression Outputs'!$B$18+K234*'Multiple Regression Outputs'!$B$19+L234*'Multiple Regression Outputs'!$B$20+M234*'Multiple Regression Outputs'!$B$21+N234*'Multiple Regression Outputs'!$B$22+O234*'Multiple Regression Outputs'!$B$23+P234*'Multiple Regression Outputs'!$B$24+Q234*'Multiple Regression Outputs'!$B$25+R234*'Multiple Regression Outputs'!$B$26+S234*'Multiple Regression Outputs'!$B$27+T234*'Multiple Regression Outputs'!$B$28</f>
        <v>626096.69260060077</v>
      </c>
      <c r="V234" s="2">
        <f t="shared" si="3"/>
        <v>31975.447399399243</v>
      </c>
    </row>
    <row r="235" spans="1:22" ht="15" customHeight="1">
      <c r="A235" s="2">
        <v>234</v>
      </c>
      <c r="B235" s="2" t="s">
        <v>84</v>
      </c>
      <c r="C235" s="2" t="s">
        <v>18</v>
      </c>
      <c r="D235" s="2" t="s">
        <v>31</v>
      </c>
      <c r="E235" s="2" t="s">
        <v>17</v>
      </c>
      <c r="F235" s="2">
        <v>723305.11</v>
      </c>
      <c r="G235" s="2">
        <v>61650.79</v>
      </c>
      <c r="H235" s="2">
        <v>5321</v>
      </c>
      <c r="I235" s="2">
        <v>0.126</v>
      </c>
      <c r="J235" s="2">
        <v>17</v>
      </c>
      <c r="K235" s="2">
        <v>89.2</v>
      </c>
      <c r="L235" s="2">
        <v>2.13</v>
      </c>
      <c r="M235" s="2">
        <v>0</v>
      </c>
      <c r="N235" s="2">
        <v>4</v>
      </c>
      <c r="O235" s="2">
        <v>0</v>
      </c>
      <c r="P235" s="2">
        <v>0</v>
      </c>
      <c r="Q235" s="2">
        <v>1</v>
      </c>
      <c r="R235" s="2">
        <v>0</v>
      </c>
      <c r="S235" s="2">
        <v>0</v>
      </c>
      <c r="T235" s="2">
        <v>1</v>
      </c>
      <c r="U235" s="2">
        <f>'Multiple Regression Outputs'!$B$14+G235*'Multiple Regression Outputs'!$B$15+H235*'Multiple Regression Outputs'!$B$16+I235*'Multiple Regression Outputs'!$B$17+J235*'Multiple Regression Outputs'!$B$18+K235*'Multiple Regression Outputs'!$B$19+L235*'Multiple Regression Outputs'!$B$20+M235*'Multiple Regression Outputs'!$B$21+N235*'Multiple Regression Outputs'!$B$22+O235*'Multiple Regression Outputs'!$B$23+P235*'Multiple Regression Outputs'!$B$24+Q235*'Multiple Regression Outputs'!$B$25+R235*'Multiple Regression Outputs'!$B$26+S235*'Multiple Regression Outputs'!$B$27+T235*'Multiple Regression Outputs'!$B$28</f>
        <v>657274.3907835359</v>
      </c>
      <c r="V235" s="2">
        <f t="shared" si="3"/>
        <v>66030.719216464087</v>
      </c>
    </row>
    <row r="236" spans="1:22" ht="15" customHeight="1">
      <c r="A236" s="2">
        <v>235</v>
      </c>
      <c r="B236" s="2" t="s">
        <v>84</v>
      </c>
      <c r="C236" s="2" t="s">
        <v>19</v>
      </c>
      <c r="D236" s="2" t="s">
        <v>31</v>
      </c>
      <c r="E236" s="2" t="s">
        <v>17</v>
      </c>
      <c r="F236" s="2">
        <v>640666.53</v>
      </c>
      <c r="G236" s="2">
        <v>62582.71</v>
      </c>
      <c r="H236" s="2">
        <v>5479</v>
      </c>
      <c r="I236" s="2">
        <v>4.8000000000000001E-2</v>
      </c>
      <c r="J236" s="2">
        <v>16</v>
      </c>
      <c r="K236" s="2">
        <v>81.2</v>
      </c>
      <c r="L236" s="2">
        <v>1.46</v>
      </c>
      <c r="M236" s="2">
        <v>0</v>
      </c>
      <c r="N236" s="2">
        <v>4.5</v>
      </c>
      <c r="O236" s="2">
        <v>0</v>
      </c>
      <c r="P236" s="2">
        <v>0</v>
      </c>
      <c r="Q236" s="2">
        <v>1</v>
      </c>
      <c r="R236" s="2">
        <v>0</v>
      </c>
      <c r="S236" s="2">
        <v>0</v>
      </c>
      <c r="T236" s="2">
        <v>1</v>
      </c>
      <c r="U236" s="2">
        <f>'Multiple Regression Outputs'!$B$14+G236*'Multiple Regression Outputs'!$B$15+H236*'Multiple Regression Outputs'!$B$16+I236*'Multiple Regression Outputs'!$B$17+J236*'Multiple Regression Outputs'!$B$18+K236*'Multiple Regression Outputs'!$B$19+L236*'Multiple Regression Outputs'!$B$20+M236*'Multiple Regression Outputs'!$B$21+N236*'Multiple Regression Outputs'!$B$22+O236*'Multiple Regression Outputs'!$B$23+P236*'Multiple Regression Outputs'!$B$24+Q236*'Multiple Regression Outputs'!$B$25+R236*'Multiple Regression Outputs'!$B$26+S236*'Multiple Regression Outputs'!$B$27+T236*'Multiple Regression Outputs'!$B$28</f>
        <v>646490.21323896782</v>
      </c>
      <c r="V236" s="2">
        <f t="shared" si="3"/>
        <v>-5823.6832389677875</v>
      </c>
    </row>
    <row r="237" spans="1:22" ht="15" customHeight="1">
      <c r="A237" s="2">
        <v>236</v>
      </c>
      <c r="B237" s="2" t="s">
        <v>84</v>
      </c>
      <c r="C237" s="2" t="s">
        <v>20</v>
      </c>
      <c r="D237" s="2" t="s">
        <v>31</v>
      </c>
      <c r="E237" s="2" t="s">
        <v>17</v>
      </c>
      <c r="F237" s="2">
        <v>670629.48</v>
      </c>
      <c r="G237" s="2">
        <v>47944.14</v>
      </c>
      <c r="H237" s="2">
        <v>6169</v>
      </c>
      <c r="I237" s="2">
        <v>0.11899999999999999</v>
      </c>
      <c r="J237" s="2">
        <v>17</v>
      </c>
      <c r="K237" s="2">
        <v>92.2</v>
      </c>
      <c r="L237" s="2">
        <v>3.02</v>
      </c>
      <c r="M237" s="2">
        <v>0</v>
      </c>
      <c r="N237" s="2">
        <v>4.0999999999999996</v>
      </c>
      <c r="O237" s="2">
        <v>0</v>
      </c>
      <c r="P237" s="2">
        <v>0</v>
      </c>
      <c r="Q237" s="2">
        <v>1</v>
      </c>
      <c r="R237" s="2">
        <v>0</v>
      </c>
      <c r="S237" s="2">
        <v>0</v>
      </c>
      <c r="T237" s="2">
        <v>1</v>
      </c>
      <c r="U237" s="2">
        <f>'Multiple Regression Outputs'!$B$14+G237*'Multiple Regression Outputs'!$B$15+H237*'Multiple Regression Outputs'!$B$16+I237*'Multiple Regression Outputs'!$B$17+J237*'Multiple Regression Outputs'!$B$18+K237*'Multiple Regression Outputs'!$B$19+L237*'Multiple Regression Outputs'!$B$20+M237*'Multiple Regression Outputs'!$B$21+N237*'Multiple Regression Outputs'!$B$22+O237*'Multiple Regression Outputs'!$B$23+P237*'Multiple Regression Outputs'!$B$24+Q237*'Multiple Regression Outputs'!$B$25+R237*'Multiple Regression Outputs'!$B$26+S237*'Multiple Regression Outputs'!$B$27+T237*'Multiple Regression Outputs'!$B$28</f>
        <v>671537.7806102091</v>
      </c>
      <c r="V237" s="2">
        <f t="shared" si="3"/>
        <v>-908.30061020911671</v>
      </c>
    </row>
    <row r="238" spans="1:22" ht="15" customHeight="1">
      <c r="A238" s="2">
        <v>237</v>
      </c>
      <c r="B238" s="2" t="s">
        <v>85</v>
      </c>
      <c r="C238" s="2" t="s">
        <v>15</v>
      </c>
      <c r="D238" s="2" t="s">
        <v>31</v>
      </c>
      <c r="E238" s="2" t="s">
        <v>32</v>
      </c>
      <c r="F238" s="2">
        <v>721079.35</v>
      </c>
      <c r="G238" s="2">
        <v>46495.4</v>
      </c>
      <c r="H238" s="2">
        <v>9908</v>
      </c>
      <c r="I238" s="2">
        <v>0.121</v>
      </c>
      <c r="J238" s="2">
        <v>22</v>
      </c>
      <c r="K238" s="2">
        <v>89.4</v>
      </c>
      <c r="L238" s="2">
        <v>3.22</v>
      </c>
      <c r="M238" s="2">
        <v>0</v>
      </c>
      <c r="N238" s="2">
        <v>3.7</v>
      </c>
      <c r="O238" s="2">
        <v>0</v>
      </c>
      <c r="P238" s="2">
        <v>1</v>
      </c>
      <c r="Q238" s="2">
        <v>0</v>
      </c>
      <c r="R238" s="2">
        <v>0</v>
      </c>
      <c r="S238" s="2">
        <v>0</v>
      </c>
      <c r="T238" s="2">
        <v>1</v>
      </c>
      <c r="U238" s="2">
        <f>'Multiple Regression Outputs'!$B$14+G238*'Multiple Regression Outputs'!$B$15+H238*'Multiple Regression Outputs'!$B$16+I238*'Multiple Regression Outputs'!$B$17+J238*'Multiple Regression Outputs'!$B$18+K238*'Multiple Regression Outputs'!$B$19+L238*'Multiple Regression Outputs'!$B$20+M238*'Multiple Regression Outputs'!$B$21+N238*'Multiple Regression Outputs'!$B$22+O238*'Multiple Regression Outputs'!$B$23+P238*'Multiple Regression Outputs'!$B$24+Q238*'Multiple Regression Outputs'!$B$25+R238*'Multiple Regression Outputs'!$B$26+S238*'Multiple Regression Outputs'!$B$27+T238*'Multiple Regression Outputs'!$B$28</f>
        <v>808021.70934979559</v>
      </c>
      <c r="V238" s="2">
        <f t="shared" si="3"/>
        <v>-86942.359349795617</v>
      </c>
    </row>
    <row r="239" spans="1:22" ht="15" customHeight="1">
      <c r="A239" s="2">
        <v>238</v>
      </c>
      <c r="B239" s="2" t="s">
        <v>85</v>
      </c>
      <c r="C239" s="2" t="s">
        <v>18</v>
      </c>
      <c r="D239" s="2" t="s">
        <v>31</v>
      </c>
      <c r="E239" s="2" t="s">
        <v>32</v>
      </c>
      <c r="F239" s="2">
        <v>810355.02</v>
      </c>
      <c r="G239" s="2">
        <v>72961.95</v>
      </c>
      <c r="H239" s="2">
        <v>9996</v>
      </c>
      <c r="I239" s="2">
        <v>0.106</v>
      </c>
      <c r="J239" s="2">
        <v>22</v>
      </c>
      <c r="K239" s="2">
        <v>89.1</v>
      </c>
      <c r="L239" s="2">
        <v>15.66</v>
      </c>
      <c r="M239" s="2">
        <v>0</v>
      </c>
      <c r="N239" s="2">
        <v>3.4</v>
      </c>
      <c r="O239" s="2">
        <v>0</v>
      </c>
      <c r="P239" s="2">
        <v>1</v>
      </c>
      <c r="Q239" s="2">
        <v>0</v>
      </c>
      <c r="R239" s="2">
        <v>0</v>
      </c>
      <c r="S239" s="2">
        <v>0</v>
      </c>
      <c r="T239" s="2">
        <v>1</v>
      </c>
      <c r="U239" s="2">
        <f>'Multiple Regression Outputs'!$B$14+G239*'Multiple Regression Outputs'!$B$15+H239*'Multiple Regression Outputs'!$B$16+I239*'Multiple Regression Outputs'!$B$17+J239*'Multiple Regression Outputs'!$B$18+K239*'Multiple Regression Outputs'!$B$19+L239*'Multiple Regression Outputs'!$B$20+M239*'Multiple Regression Outputs'!$B$21+N239*'Multiple Regression Outputs'!$B$22+O239*'Multiple Regression Outputs'!$B$23+P239*'Multiple Regression Outputs'!$B$24+Q239*'Multiple Regression Outputs'!$B$25+R239*'Multiple Regression Outputs'!$B$26+S239*'Multiple Regression Outputs'!$B$27+T239*'Multiple Regression Outputs'!$B$28</f>
        <v>795627.01077537332</v>
      </c>
      <c r="V239" s="2">
        <f t="shared" si="3"/>
        <v>14728.009224626701</v>
      </c>
    </row>
    <row r="240" spans="1:22" ht="15" customHeight="1">
      <c r="A240" s="2">
        <v>239</v>
      </c>
      <c r="B240" s="2" t="s">
        <v>85</v>
      </c>
      <c r="C240" s="2" t="s">
        <v>19</v>
      </c>
      <c r="D240" s="2" t="s">
        <v>31</v>
      </c>
      <c r="E240" s="2" t="s">
        <v>32</v>
      </c>
      <c r="F240" s="2">
        <v>761919.25</v>
      </c>
      <c r="G240" s="2">
        <v>59060.05</v>
      </c>
      <c r="H240" s="2">
        <v>9702</v>
      </c>
      <c r="I240" s="2">
        <v>0.20100000000000001</v>
      </c>
      <c r="J240" s="2">
        <v>23</v>
      </c>
      <c r="K240" s="2">
        <v>80.900000000000006</v>
      </c>
      <c r="L240" s="2">
        <v>6.96</v>
      </c>
      <c r="M240" s="2">
        <v>0</v>
      </c>
      <c r="N240" s="2">
        <v>3.2</v>
      </c>
      <c r="O240" s="2">
        <v>0</v>
      </c>
      <c r="P240" s="2">
        <v>1</v>
      </c>
      <c r="Q240" s="2">
        <v>0</v>
      </c>
      <c r="R240" s="2">
        <v>0</v>
      </c>
      <c r="S240" s="2">
        <v>0</v>
      </c>
      <c r="T240" s="2">
        <v>1</v>
      </c>
      <c r="U240" s="2">
        <f>'Multiple Regression Outputs'!$B$14+G240*'Multiple Regression Outputs'!$B$15+H240*'Multiple Regression Outputs'!$B$16+I240*'Multiple Regression Outputs'!$B$17+J240*'Multiple Regression Outputs'!$B$18+K240*'Multiple Regression Outputs'!$B$19+L240*'Multiple Regression Outputs'!$B$20+M240*'Multiple Regression Outputs'!$B$21+N240*'Multiple Regression Outputs'!$B$22+O240*'Multiple Regression Outputs'!$B$23+P240*'Multiple Regression Outputs'!$B$24+Q240*'Multiple Regression Outputs'!$B$25+R240*'Multiple Regression Outputs'!$B$26+S240*'Multiple Regression Outputs'!$B$27+T240*'Multiple Regression Outputs'!$B$28</f>
        <v>772659.68683775235</v>
      </c>
      <c r="V240" s="2">
        <f t="shared" si="3"/>
        <v>-10740.43683775235</v>
      </c>
    </row>
    <row r="241" spans="1:22" ht="15" customHeight="1">
      <c r="A241" s="2">
        <v>240</v>
      </c>
      <c r="B241" s="2" t="s">
        <v>85</v>
      </c>
      <c r="C241" s="2" t="s">
        <v>20</v>
      </c>
      <c r="D241" s="2" t="s">
        <v>31</v>
      </c>
      <c r="E241" s="2" t="s">
        <v>32</v>
      </c>
      <c r="F241" s="2">
        <v>737070.18</v>
      </c>
      <c r="G241" s="2">
        <v>26248.1</v>
      </c>
      <c r="H241" s="2">
        <v>9314</v>
      </c>
      <c r="I241" s="2">
        <v>0.186</v>
      </c>
      <c r="J241" s="2">
        <v>21</v>
      </c>
      <c r="K241" s="2">
        <v>83.7</v>
      </c>
      <c r="L241" s="2">
        <v>4.62</v>
      </c>
      <c r="M241" s="2">
        <v>0</v>
      </c>
      <c r="N241" s="2">
        <v>3.3</v>
      </c>
      <c r="O241" s="2">
        <v>0</v>
      </c>
      <c r="P241" s="2">
        <v>1</v>
      </c>
      <c r="Q241" s="2">
        <v>0</v>
      </c>
      <c r="R241" s="2">
        <v>0</v>
      </c>
      <c r="S241" s="2">
        <v>0</v>
      </c>
      <c r="T241" s="2">
        <v>1</v>
      </c>
      <c r="U241" s="2">
        <f>'Multiple Regression Outputs'!$B$14+G241*'Multiple Regression Outputs'!$B$15+H241*'Multiple Regression Outputs'!$B$16+I241*'Multiple Regression Outputs'!$B$17+J241*'Multiple Regression Outputs'!$B$18+K241*'Multiple Regression Outputs'!$B$19+L241*'Multiple Regression Outputs'!$B$20+M241*'Multiple Regression Outputs'!$B$21+N241*'Multiple Regression Outputs'!$B$22+O241*'Multiple Regression Outputs'!$B$23+P241*'Multiple Regression Outputs'!$B$24+Q241*'Multiple Regression Outputs'!$B$25+R241*'Multiple Regression Outputs'!$B$26+S241*'Multiple Regression Outputs'!$B$27+T241*'Multiple Regression Outputs'!$B$28</f>
        <v>733825.28641022148</v>
      </c>
      <c r="V241" s="2">
        <f t="shared" si="3"/>
        <v>3244.8935897785705</v>
      </c>
    </row>
    <row r="242" spans="1:22" ht="15" customHeight="1">
      <c r="A242" s="2">
        <v>241</v>
      </c>
      <c r="B242" s="2" t="s">
        <v>86</v>
      </c>
      <c r="C242" s="2" t="s">
        <v>15</v>
      </c>
      <c r="D242" s="2" t="s">
        <v>28</v>
      </c>
      <c r="E242" s="2" t="s">
        <v>25</v>
      </c>
      <c r="F242" s="2">
        <v>776992.93</v>
      </c>
      <c r="G242" s="2">
        <v>69900.12</v>
      </c>
      <c r="H242" s="2">
        <v>8055</v>
      </c>
      <c r="I242" s="2">
        <v>0.28100000000000003</v>
      </c>
      <c r="J242" s="2">
        <v>22</v>
      </c>
      <c r="K242" s="2">
        <v>85.6</v>
      </c>
      <c r="L242" s="2">
        <v>10.68</v>
      </c>
      <c r="M242" s="2">
        <v>1</v>
      </c>
      <c r="N242" s="2">
        <v>2.9</v>
      </c>
      <c r="O242" s="2">
        <v>0</v>
      </c>
      <c r="P242" s="2">
        <v>0</v>
      </c>
      <c r="Q242" s="2">
        <v>0</v>
      </c>
      <c r="R242" s="2">
        <v>0</v>
      </c>
      <c r="S242" s="2">
        <v>1</v>
      </c>
      <c r="T242" s="2">
        <v>0</v>
      </c>
      <c r="U242" s="2">
        <f>'Multiple Regression Outputs'!$B$14+G242*'Multiple Regression Outputs'!$B$15+H242*'Multiple Regression Outputs'!$B$16+I242*'Multiple Regression Outputs'!$B$17+J242*'Multiple Regression Outputs'!$B$18+K242*'Multiple Regression Outputs'!$B$19+L242*'Multiple Regression Outputs'!$B$20+M242*'Multiple Regression Outputs'!$B$21+N242*'Multiple Regression Outputs'!$B$22+O242*'Multiple Regression Outputs'!$B$23+P242*'Multiple Regression Outputs'!$B$24+Q242*'Multiple Regression Outputs'!$B$25+R242*'Multiple Regression Outputs'!$B$26+S242*'Multiple Regression Outputs'!$B$27+T242*'Multiple Regression Outputs'!$B$28</f>
        <v>754612.29642929439</v>
      </c>
      <c r="V242" s="2">
        <f t="shared" si="3"/>
        <v>22380.633570705657</v>
      </c>
    </row>
    <row r="243" spans="1:22" ht="15" customHeight="1">
      <c r="A243" s="2">
        <v>242</v>
      </c>
      <c r="B243" s="2" t="s">
        <v>86</v>
      </c>
      <c r="C243" s="2" t="s">
        <v>18</v>
      </c>
      <c r="D243" s="2" t="s">
        <v>28</v>
      </c>
      <c r="E243" s="2" t="s">
        <v>25</v>
      </c>
      <c r="F243" s="2">
        <v>676337.41</v>
      </c>
      <c r="G243" s="2">
        <v>51781.599999999999</v>
      </c>
      <c r="H243" s="2">
        <v>5648</v>
      </c>
      <c r="I243" s="2">
        <v>5.8999999999999997E-2</v>
      </c>
      <c r="J243" s="2">
        <v>13</v>
      </c>
      <c r="K243" s="2">
        <v>85.5</v>
      </c>
      <c r="L243" s="2">
        <v>4.04</v>
      </c>
      <c r="M243" s="2">
        <v>0</v>
      </c>
      <c r="N243" s="2">
        <v>3.7</v>
      </c>
      <c r="O243" s="2">
        <v>0</v>
      </c>
      <c r="P243" s="2">
        <v>0</v>
      </c>
      <c r="Q243" s="2">
        <v>0</v>
      </c>
      <c r="R243" s="2">
        <v>0</v>
      </c>
      <c r="S243" s="2">
        <v>1</v>
      </c>
      <c r="T243" s="2">
        <v>0</v>
      </c>
      <c r="U243" s="2">
        <f>'Multiple Regression Outputs'!$B$14+G243*'Multiple Regression Outputs'!$B$15+H243*'Multiple Regression Outputs'!$B$16+I243*'Multiple Regression Outputs'!$B$17+J243*'Multiple Regression Outputs'!$B$18+K243*'Multiple Regression Outputs'!$B$19+L243*'Multiple Regression Outputs'!$B$20+M243*'Multiple Regression Outputs'!$B$21+N243*'Multiple Regression Outputs'!$B$22+O243*'Multiple Regression Outputs'!$B$23+P243*'Multiple Regression Outputs'!$B$24+Q243*'Multiple Regression Outputs'!$B$25+R243*'Multiple Regression Outputs'!$B$26+S243*'Multiple Regression Outputs'!$B$27+T243*'Multiple Regression Outputs'!$B$28</f>
        <v>661845.44575534656</v>
      </c>
      <c r="V243" s="2">
        <f t="shared" si="3"/>
        <v>14491.964244653471</v>
      </c>
    </row>
    <row r="244" spans="1:22" ht="15" customHeight="1">
      <c r="A244" s="2">
        <v>243</v>
      </c>
      <c r="B244" s="2" t="s">
        <v>86</v>
      </c>
      <c r="C244" s="2" t="s">
        <v>19</v>
      </c>
      <c r="D244" s="2" t="s">
        <v>28</v>
      </c>
      <c r="E244" s="2" t="s">
        <v>25</v>
      </c>
      <c r="F244" s="2">
        <v>828219.67</v>
      </c>
      <c r="G244" s="2">
        <v>70799.64</v>
      </c>
      <c r="H244" s="2">
        <v>10076</v>
      </c>
      <c r="I244" s="2">
        <v>0.152</v>
      </c>
      <c r="J244" s="2">
        <v>24</v>
      </c>
      <c r="K244" s="2">
        <v>84.8</v>
      </c>
      <c r="L244" s="2">
        <v>1.87</v>
      </c>
      <c r="M244" s="2">
        <v>0</v>
      </c>
      <c r="N244" s="2">
        <v>3.5</v>
      </c>
      <c r="O244" s="2">
        <v>0</v>
      </c>
      <c r="P244" s="2">
        <v>0</v>
      </c>
      <c r="Q244" s="2">
        <v>0</v>
      </c>
      <c r="R244" s="2">
        <v>0</v>
      </c>
      <c r="S244" s="2">
        <v>1</v>
      </c>
      <c r="T244" s="2">
        <v>0</v>
      </c>
      <c r="U244" s="2">
        <f>'Multiple Regression Outputs'!$B$14+G244*'Multiple Regression Outputs'!$B$15+H244*'Multiple Regression Outputs'!$B$16+I244*'Multiple Regression Outputs'!$B$17+J244*'Multiple Regression Outputs'!$B$18+K244*'Multiple Regression Outputs'!$B$19+L244*'Multiple Regression Outputs'!$B$20+M244*'Multiple Regression Outputs'!$B$21+N244*'Multiple Regression Outputs'!$B$22+O244*'Multiple Regression Outputs'!$B$23+P244*'Multiple Regression Outputs'!$B$24+Q244*'Multiple Regression Outputs'!$B$25+R244*'Multiple Regression Outputs'!$B$26+S244*'Multiple Regression Outputs'!$B$27+T244*'Multiple Regression Outputs'!$B$28</f>
        <v>843472.61751832452</v>
      </c>
      <c r="V244" s="2">
        <f t="shared" si="3"/>
        <v>-15252.947518324479</v>
      </c>
    </row>
    <row r="245" spans="1:22" ht="15" customHeight="1">
      <c r="A245" s="2">
        <v>244</v>
      </c>
      <c r="B245" s="2" t="s">
        <v>86</v>
      </c>
      <c r="C245" s="2" t="s">
        <v>20</v>
      </c>
      <c r="D245" s="2" t="s">
        <v>28</v>
      </c>
      <c r="E245" s="2" t="s">
        <v>25</v>
      </c>
      <c r="F245" s="2">
        <v>763159.92</v>
      </c>
      <c r="G245" s="2">
        <v>53546.34</v>
      </c>
      <c r="H245" s="2">
        <v>8004</v>
      </c>
      <c r="I245" s="2">
        <v>0</v>
      </c>
      <c r="J245" s="2">
        <v>21</v>
      </c>
      <c r="K245" s="2">
        <v>95.2</v>
      </c>
      <c r="L245" s="2">
        <v>2.83</v>
      </c>
      <c r="M245" s="2">
        <v>0</v>
      </c>
      <c r="N245" s="2">
        <v>3</v>
      </c>
      <c r="O245" s="2">
        <v>0</v>
      </c>
      <c r="P245" s="2">
        <v>0</v>
      </c>
      <c r="Q245" s="2">
        <v>0</v>
      </c>
      <c r="R245" s="2">
        <v>0</v>
      </c>
      <c r="S245" s="2">
        <v>1</v>
      </c>
      <c r="T245" s="2">
        <v>0</v>
      </c>
      <c r="U245" s="2">
        <f>'Multiple Regression Outputs'!$B$14+G245*'Multiple Regression Outputs'!$B$15+H245*'Multiple Regression Outputs'!$B$16+I245*'Multiple Regression Outputs'!$B$17+J245*'Multiple Regression Outputs'!$B$18+K245*'Multiple Regression Outputs'!$B$19+L245*'Multiple Regression Outputs'!$B$20+M245*'Multiple Regression Outputs'!$B$21+N245*'Multiple Regression Outputs'!$B$22+O245*'Multiple Regression Outputs'!$B$23+P245*'Multiple Regression Outputs'!$B$24+Q245*'Multiple Regression Outputs'!$B$25+R245*'Multiple Regression Outputs'!$B$26+S245*'Multiple Regression Outputs'!$B$27+T245*'Multiple Regression Outputs'!$B$28</f>
        <v>783992.1964635913</v>
      </c>
      <c r="V245" s="2">
        <f t="shared" si="3"/>
        <v>-20832.276463591261</v>
      </c>
    </row>
    <row r="246" spans="1:22" ht="15" customHeight="1">
      <c r="A246" s="2">
        <v>245</v>
      </c>
      <c r="B246" s="2" t="s">
        <v>87</v>
      </c>
      <c r="C246" s="2" t="s">
        <v>15</v>
      </c>
      <c r="D246" s="2" t="s">
        <v>16</v>
      </c>
      <c r="E246" s="2" t="s">
        <v>22</v>
      </c>
      <c r="F246" s="2">
        <v>802001.68</v>
      </c>
      <c r="G246" s="2">
        <v>76942.2</v>
      </c>
      <c r="H246" s="2">
        <v>8934</v>
      </c>
      <c r="I246" s="2">
        <v>8.4000000000000005E-2</v>
      </c>
      <c r="J246" s="2">
        <v>20</v>
      </c>
      <c r="K246" s="2">
        <v>91</v>
      </c>
      <c r="L246" s="2">
        <v>0.95</v>
      </c>
      <c r="M246" s="2">
        <v>0</v>
      </c>
      <c r="N246" s="2">
        <v>3.2</v>
      </c>
      <c r="O246" s="2">
        <v>1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f>'Multiple Regression Outputs'!$B$14+G246*'Multiple Regression Outputs'!$B$15+H246*'Multiple Regression Outputs'!$B$16+I246*'Multiple Regression Outputs'!$B$17+J246*'Multiple Regression Outputs'!$B$18+K246*'Multiple Regression Outputs'!$B$19+L246*'Multiple Regression Outputs'!$B$20+M246*'Multiple Regression Outputs'!$B$21+N246*'Multiple Regression Outputs'!$B$22+O246*'Multiple Regression Outputs'!$B$23+P246*'Multiple Regression Outputs'!$B$24+Q246*'Multiple Regression Outputs'!$B$25+R246*'Multiple Regression Outputs'!$B$26+S246*'Multiple Regression Outputs'!$B$27+T246*'Multiple Regression Outputs'!$B$28</f>
        <v>781288.20200551697</v>
      </c>
      <c r="V246" s="2">
        <f t="shared" si="3"/>
        <v>20713.477994483081</v>
      </c>
    </row>
    <row r="247" spans="1:22" ht="15" customHeight="1">
      <c r="A247" s="2">
        <v>246</v>
      </c>
      <c r="B247" s="2" t="s">
        <v>87</v>
      </c>
      <c r="C247" s="2" t="s">
        <v>18</v>
      </c>
      <c r="D247" s="2" t="s">
        <v>16</v>
      </c>
      <c r="E247" s="2" t="s">
        <v>22</v>
      </c>
      <c r="F247" s="2">
        <v>750471.34</v>
      </c>
      <c r="G247" s="2">
        <v>48060.78</v>
      </c>
      <c r="H247" s="2">
        <v>8733</v>
      </c>
      <c r="I247" s="2">
        <v>0</v>
      </c>
      <c r="J247" s="2">
        <v>20</v>
      </c>
      <c r="K247" s="2">
        <v>89.9</v>
      </c>
      <c r="L247" s="2">
        <v>0.8</v>
      </c>
      <c r="M247" s="2">
        <v>0</v>
      </c>
      <c r="N247" s="2">
        <v>3.4</v>
      </c>
      <c r="O247" s="2">
        <v>1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f>'Multiple Regression Outputs'!$B$14+G247*'Multiple Regression Outputs'!$B$15+H247*'Multiple Regression Outputs'!$B$16+I247*'Multiple Regression Outputs'!$B$17+J247*'Multiple Regression Outputs'!$B$18+K247*'Multiple Regression Outputs'!$B$19+L247*'Multiple Regression Outputs'!$B$20+M247*'Multiple Regression Outputs'!$B$21+N247*'Multiple Regression Outputs'!$B$22+O247*'Multiple Regression Outputs'!$B$23+P247*'Multiple Regression Outputs'!$B$24+Q247*'Multiple Regression Outputs'!$B$25+R247*'Multiple Regression Outputs'!$B$26+S247*'Multiple Regression Outputs'!$B$27+T247*'Multiple Regression Outputs'!$B$28</f>
        <v>743962.77553409967</v>
      </c>
      <c r="V247" s="2">
        <f t="shared" si="3"/>
        <v>6508.564465900301</v>
      </c>
    </row>
    <row r="248" spans="1:22" ht="15" customHeight="1">
      <c r="A248" s="2">
        <v>247</v>
      </c>
      <c r="B248" s="2" t="s">
        <v>87</v>
      </c>
      <c r="C248" s="2" t="s">
        <v>19</v>
      </c>
      <c r="D248" s="2" t="s">
        <v>16</v>
      </c>
      <c r="E248" s="2" t="s">
        <v>22</v>
      </c>
      <c r="F248" s="2">
        <v>679230.86</v>
      </c>
      <c r="G248" s="2">
        <v>57390.04</v>
      </c>
      <c r="H248" s="2">
        <v>7374</v>
      </c>
      <c r="I248" s="2">
        <v>0.21</v>
      </c>
      <c r="J248" s="2">
        <v>21</v>
      </c>
      <c r="K248" s="2">
        <v>91.8</v>
      </c>
      <c r="L248" s="2">
        <v>0.2</v>
      </c>
      <c r="M248" s="2">
        <v>0</v>
      </c>
      <c r="N248" s="2">
        <v>3.1</v>
      </c>
      <c r="O248" s="2">
        <v>1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f>'Multiple Regression Outputs'!$B$14+G248*'Multiple Regression Outputs'!$B$15+H248*'Multiple Regression Outputs'!$B$16+I248*'Multiple Regression Outputs'!$B$17+J248*'Multiple Regression Outputs'!$B$18+K248*'Multiple Regression Outputs'!$B$19+L248*'Multiple Regression Outputs'!$B$20+M248*'Multiple Regression Outputs'!$B$21+N248*'Multiple Regression Outputs'!$B$22+O248*'Multiple Regression Outputs'!$B$23+P248*'Multiple Regression Outputs'!$B$24+Q248*'Multiple Regression Outputs'!$B$25+R248*'Multiple Regression Outputs'!$B$26+S248*'Multiple Regression Outputs'!$B$27+T248*'Multiple Regression Outputs'!$B$28</f>
        <v>717076.18806876719</v>
      </c>
      <c r="V248" s="2">
        <f t="shared" si="3"/>
        <v>-37845.328068767209</v>
      </c>
    </row>
    <row r="249" spans="1:22" ht="15" customHeight="1">
      <c r="A249" s="2">
        <v>248</v>
      </c>
      <c r="B249" s="2" t="s">
        <v>87</v>
      </c>
      <c r="C249" s="2" t="s">
        <v>20</v>
      </c>
      <c r="D249" s="2" t="s">
        <v>16</v>
      </c>
      <c r="E249" s="2" t="s">
        <v>22</v>
      </c>
      <c r="F249" s="2">
        <v>679888.74</v>
      </c>
      <c r="G249" s="2">
        <v>21536.18</v>
      </c>
      <c r="H249" s="2">
        <v>8119</v>
      </c>
      <c r="I249" s="2">
        <v>0.22700000000000001</v>
      </c>
      <c r="J249" s="2">
        <v>20</v>
      </c>
      <c r="K249" s="2">
        <v>90.4</v>
      </c>
      <c r="L249" s="2">
        <v>1.7</v>
      </c>
      <c r="M249" s="2">
        <v>0</v>
      </c>
      <c r="N249" s="2">
        <v>3.3</v>
      </c>
      <c r="O249" s="2">
        <v>1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f>'Multiple Regression Outputs'!$B$14+G249*'Multiple Regression Outputs'!$B$15+H249*'Multiple Regression Outputs'!$B$16+I249*'Multiple Regression Outputs'!$B$17+J249*'Multiple Regression Outputs'!$B$18+K249*'Multiple Regression Outputs'!$B$19+L249*'Multiple Regression Outputs'!$B$20+M249*'Multiple Regression Outputs'!$B$21+N249*'Multiple Regression Outputs'!$B$22+O249*'Multiple Regression Outputs'!$B$23+P249*'Multiple Regression Outputs'!$B$24+Q249*'Multiple Regression Outputs'!$B$25+R249*'Multiple Regression Outputs'!$B$26+S249*'Multiple Regression Outputs'!$B$27+T249*'Multiple Regression Outputs'!$B$28</f>
        <v>682909.14974432846</v>
      </c>
      <c r="V249" s="2">
        <f t="shared" si="3"/>
        <v>-3020.40974432847</v>
      </c>
    </row>
    <row r="250" spans="1:22" ht="15" customHeight="1">
      <c r="A250" s="2">
        <v>249</v>
      </c>
      <c r="B250" s="2" t="s">
        <v>88</v>
      </c>
      <c r="C250" s="2" t="s">
        <v>15</v>
      </c>
      <c r="D250" s="2" t="s">
        <v>24</v>
      </c>
      <c r="E250" s="2" t="s">
        <v>22</v>
      </c>
      <c r="F250" s="2">
        <v>606783.67000000004</v>
      </c>
      <c r="G250" s="2">
        <v>40923.67</v>
      </c>
      <c r="H250" s="2">
        <v>3875</v>
      </c>
      <c r="I250" s="2">
        <v>0.15</v>
      </c>
      <c r="J250" s="2">
        <v>10</v>
      </c>
      <c r="K250" s="2">
        <v>96.1</v>
      </c>
      <c r="L250" s="2">
        <v>3.3650000000000002</v>
      </c>
      <c r="M250" s="2">
        <v>0</v>
      </c>
      <c r="N250" s="2">
        <v>3.8</v>
      </c>
      <c r="O250" s="2">
        <v>1</v>
      </c>
      <c r="P250" s="2">
        <v>0</v>
      </c>
      <c r="Q250" s="2">
        <v>0</v>
      </c>
      <c r="R250" s="2">
        <v>1</v>
      </c>
      <c r="S250" s="2">
        <v>0</v>
      </c>
      <c r="T250" s="2">
        <v>0</v>
      </c>
      <c r="U250" s="2">
        <f>'Multiple Regression Outputs'!$B$14+G250*'Multiple Regression Outputs'!$B$15+H250*'Multiple Regression Outputs'!$B$16+I250*'Multiple Regression Outputs'!$B$17+J250*'Multiple Regression Outputs'!$B$18+K250*'Multiple Regression Outputs'!$B$19+L250*'Multiple Regression Outputs'!$B$20+M250*'Multiple Regression Outputs'!$B$21+N250*'Multiple Regression Outputs'!$B$22+O250*'Multiple Regression Outputs'!$B$23+P250*'Multiple Regression Outputs'!$B$24+Q250*'Multiple Regression Outputs'!$B$25+R250*'Multiple Regression Outputs'!$B$26+S250*'Multiple Regression Outputs'!$B$27+T250*'Multiple Regression Outputs'!$B$28</f>
        <v>586377.13952504739</v>
      </c>
      <c r="V250" s="2">
        <f t="shared" si="3"/>
        <v>20406.530474952655</v>
      </c>
    </row>
    <row r="251" spans="1:22" ht="15" customHeight="1">
      <c r="A251" s="2">
        <v>250</v>
      </c>
      <c r="B251" s="2" t="s">
        <v>88</v>
      </c>
      <c r="C251" s="2" t="s">
        <v>18</v>
      </c>
      <c r="D251" s="2" t="s">
        <v>24</v>
      </c>
      <c r="E251" s="2" t="s">
        <v>22</v>
      </c>
      <c r="F251" s="2">
        <v>642751.42000000004</v>
      </c>
      <c r="G251" s="2">
        <v>72932.55</v>
      </c>
      <c r="H251" s="2">
        <v>5765</v>
      </c>
      <c r="I251" s="2">
        <v>2.5999999999999999E-2</v>
      </c>
      <c r="J251" s="2">
        <v>17</v>
      </c>
      <c r="K251" s="2">
        <v>81.8</v>
      </c>
      <c r="L251" s="2">
        <v>5.0999999999999996</v>
      </c>
      <c r="M251" s="2">
        <v>0</v>
      </c>
      <c r="N251" s="2">
        <v>3.6</v>
      </c>
      <c r="O251" s="2">
        <v>1</v>
      </c>
      <c r="P251" s="2">
        <v>0</v>
      </c>
      <c r="Q251" s="2">
        <v>0</v>
      </c>
      <c r="R251" s="2">
        <v>1</v>
      </c>
      <c r="S251" s="2">
        <v>0</v>
      </c>
      <c r="T251" s="2">
        <v>0</v>
      </c>
      <c r="U251" s="2">
        <f>'Multiple Regression Outputs'!$B$14+G251*'Multiple Regression Outputs'!$B$15+H251*'Multiple Regression Outputs'!$B$16+I251*'Multiple Regression Outputs'!$B$17+J251*'Multiple Regression Outputs'!$B$18+K251*'Multiple Regression Outputs'!$B$19+L251*'Multiple Regression Outputs'!$B$20+M251*'Multiple Regression Outputs'!$B$21+N251*'Multiple Regression Outputs'!$B$22+O251*'Multiple Regression Outputs'!$B$23+P251*'Multiple Regression Outputs'!$B$24+Q251*'Multiple Regression Outputs'!$B$25+R251*'Multiple Regression Outputs'!$B$26+S251*'Multiple Regression Outputs'!$B$27+T251*'Multiple Regression Outputs'!$B$28</f>
        <v>654187.33166820498</v>
      </c>
      <c r="V251" s="2">
        <f t="shared" si="3"/>
        <v>-11435.911668204935</v>
      </c>
    </row>
    <row r="252" spans="1:22" ht="15" customHeight="1">
      <c r="A252" s="2">
        <v>251</v>
      </c>
      <c r="B252" s="2" t="s">
        <v>88</v>
      </c>
      <c r="C252" s="2" t="s">
        <v>19</v>
      </c>
      <c r="D252" s="2" t="s">
        <v>24</v>
      </c>
      <c r="E252" s="2" t="s">
        <v>22</v>
      </c>
      <c r="F252" s="2">
        <v>647953.78</v>
      </c>
      <c r="G252" s="2">
        <v>38361.93</v>
      </c>
      <c r="H252" s="2">
        <v>6322</v>
      </c>
      <c r="I252" s="2">
        <v>0.27300000000000002</v>
      </c>
      <c r="J252" s="2">
        <v>15</v>
      </c>
      <c r="K252" s="2">
        <v>88.4</v>
      </c>
      <c r="L252" s="2">
        <v>0.83</v>
      </c>
      <c r="M252" s="2">
        <v>0</v>
      </c>
      <c r="N252" s="2">
        <v>4</v>
      </c>
      <c r="O252" s="2">
        <v>1</v>
      </c>
      <c r="P252" s="2">
        <v>0</v>
      </c>
      <c r="Q252" s="2">
        <v>0</v>
      </c>
      <c r="R252" s="2">
        <v>1</v>
      </c>
      <c r="S252" s="2">
        <v>0</v>
      </c>
      <c r="T252" s="2">
        <v>0</v>
      </c>
      <c r="U252" s="2">
        <f>'Multiple Regression Outputs'!$B$14+G252*'Multiple Regression Outputs'!$B$15+H252*'Multiple Regression Outputs'!$B$16+I252*'Multiple Regression Outputs'!$B$17+J252*'Multiple Regression Outputs'!$B$18+K252*'Multiple Regression Outputs'!$B$19+L252*'Multiple Regression Outputs'!$B$20+M252*'Multiple Regression Outputs'!$B$21+N252*'Multiple Regression Outputs'!$B$22+O252*'Multiple Regression Outputs'!$B$23+P252*'Multiple Regression Outputs'!$B$24+Q252*'Multiple Regression Outputs'!$B$25+R252*'Multiple Regression Outputs'!$B$26+S252*'Multiple Regression Outputs'!$B$27+T252*'Multiple Regression Outputs'!$B$28</f>
        <v>650276.85114936973</v>
      </c>
      <c r="V252" s="2">
        <f t="shared" si="3"/>
        <v>-2323.0711493697017</v>
      </c>
    </row>
    <row r="253" spans="1:22" ht="15" customHeight="1">
      <c r="A253" s="2">
        <v>252</v>
      </c>
      <c r="B253" s="2" t="s">
        <v>88</v>
      </c>
      <c r="C253" s="2" t="s">
        <v>20</v>
      </c>
      <c r="D253" s="2" t="s">
        <v>24</v>
      </c>
      <c r="E253" s="2" t="s">
        <v>22</v>
      </c>
      <c r="F253" s="2">
        <v>729440.45</v>
      </c>
      <c r="G253" s="2">
        <v>97480.94</v>
      </c>
      <c r="H253" s="2">
        <v>6840</v>
      </c>
      <c r="I253" s="2">
        <v>8.6999999999999994E-2</v>
      </c>
      <c r="J253" s="2">
        <v>14</v>
      </c>
      <c r="K253" s="2">
        <v>79.2</v>
      </c>
      <c r="L253" s="2">
        <v>1.1399999999999999</v>
      </c>
      <c r="M253" s="2">
        <v>0</v>
      </c>
      <c r="N253" s="2">
        <v>4</v>
      </c>
      <c r="O253" s="2">
        <v>1</v>
      </c>
      <c r="P253" s="2">
        <v>0</v>
      </c>
      <c r="Q253" s="2">
        <v>0</v>
      </c>
      <c r="R253" s="2">
        <v>1</v>
      </c>
      <c r="S253" s="2">
        <v>0</v>
      </c>
      <c r="T253" s="2">
        <v>0</v>
      </c>
      <c r="U253" s="2">
        <f>'Multiple Regression Outputs'!$B$14+G253*'Multiple Regression Outputs'!$B$15+H253*'Multiple Regression Outputs'!$B$16+I253*'Multiple Regression Outputs'!$B$17+J253*'Multiple Regression Outputs'!$B$18+K253*'Multiple Regression Outputs'!$B$19+L253*'Multiple Regression Outputs'!$B$20+M253*'Multiple Regression Outputs'!$B$21+N253*'Multiple Regression Outputs'!$B$22+O253*'Multiple Regression Outputs'!$B$23+P253*'Multiple Regression Outputs'!$B$24+Q253*'Multiple Regression Outputs'!$B$25+R253*'Multiple Regression Outputs'!$B$26+S253*'Multiple Regression Outputs'!$B$27+T253*'Multiple Regression Outputs'!$B$28</f>
        <v>710891.45312601526</v>
      </c>
      <c r="V253" s="2">
        <f t="shared" si="3"/>
        <v>18548.996873984695</v>
      </c>
    </row>
    <row r="254" spans="1:22" ht="15" customHeight="1">
      <c r="A254" s="2">
        <v>253</v>
      </c>
      <c r="B254" s="2" t="s">
        <v>89</v>
      </c>
      <c r="C254" s="2" t="s">
        <v>15</v>
      </c>
      <c r="D254" s="2" t="s">
        <v>28</v>
      </c>
      <c r="E254" s="2" t="s">
        <v>25</v>
      </c>
      <c r="F254" s="2">
        <v>764949</v>
      </c>
      <c r="G254" s="2">
        <v>81801.8</v>
      </c>
      <c r="H254" s="2">
        <v>6782</v>
      </c>
      <c r="I254" s="2">
        <v>0.05</v>
      </c>
      <c r="J254" s="2">
        <v>16</v>
      </c>
      <c r="K254" s="2">
        <v>99</v>
      </c>
      <c r="L254" s="2">
        <v>9.5399999999999991</v>
      </c>
      <c r="M254" s="2">
        <v>0</v>
      </c>
      <c r="N254" s="2">
        <v>3.7</v>
      </c>
      <c r="O254" s="2">
        <v>0</v>
      </c>
      <c r="P254" s="2">
        <v>0</v>
      </c>
      <c r="Q254" s="2">
        <v>0</v>
      </c>
      <c r="R254" s="2">
        <v>0</v>
      </c>
      <c r="S254" s="2">
        <v>1</v>
      </c>
      <c r="T254" s="2">
        <v>0</v>
      </c>
      <c r="U254" s="2">
        <f>'Multiple Regression Outputs'!$B$14+G254*'Multiple Regression Outputs'!$B$15+H254*'Multiple Regression Outputs'!$B$16+I254*'Multiple Regression Outputs'!$B$17+J254*'Multiple Regression Outputs'!$B$18+K254*'Multiple Regression Outputs'!$B$19+L254*'Multiple Regression Outputs'!$B$20+M254*'Multiple Regression Outputs'!$B$21+N254*'Multiple Regression Outputs'!$B$22+O254*'Multiple Regression Outputs'!$B$23+P254*'Multiple Regression Outputs'!$B$24+Q254*'Multiple Regression Outputs'!$B$25+R254*'Multiple Regression Outputs'!$B$26+S254*'Multiple Regression Outputs'!$B$27+T254*'Multiple Regression Outputs'!$B$28</f>
        <v>762493.61717080243</v>
      </c>
      <c r="V254" s="2">
        <f t="shared" si="3"/>
        <v>2455.382829197566</v>
      </c>
    </row>
    <row r="255" spans="1:22" ht="15" customHeight="1">
      <c r="A255" s="2">
        <v>254</v>
      </c>
      <c r="B255" s="2" t="s">
        <v>89</v>
      </c>
      <c r="C255" s="2" t="s">
        <v>18</v>
      </c>
      <c r="D255" s="2" t="s">
        <v>28</v>
      </c>
      <c r="E255" s="2" t="s">
        <v>25</v>
      </c>
      <c r="F255" s="2">
        <v>799046.94</v>
      </c>
      <c r="G255" s="2">
        <v>63582.11</v>
      </c>
      <c r="H255" s="2">
        <v>6856</v>
      </c>
      <c r="I255" s="2">
        <v>7.3999999999999996E-2</v>
      </c>
      <c r="J255" s="2">
        <v>17</v>
      </c>
      <c r="K255" s="2">
        <v>89.5</v>
      </c>
      <c r="L255" s="2">
        <v>5.48</v>
      </c>
      <c r="M255" s="2">
        <v>0</v>
      </c>
      <c r="N255" s="2">
        <v>3.2</v>
      </c>
      <c r="O255" s="2">
        <v>0</v>
      </c>
      <c r="P255" s="2">
        <v>0</v>
      </c>
      <c r="Q255" s="2">
        <v>0</v>
      </c>
      <c r="R255" s="2">
        <v>0</v>
      </c>
      <c r="S255" s="2">
        <v>1</v>
      </c>
      <c r="T255" s="2">
        <v>0</v>
      </c>
      <c r="U255" s="2">
        <f>'Multiple Regression Outputs'!$B$14+G255*'Multiple Regression Outputs'!$B$15+H255*'Multiple Regression Outputs'!$B$16+I255*'Multiple Regression Outputs'!$B$17+J255*'Multiple Regression Outputs'!$B$18+K255*'Multiple Regression Outputs'!$B$19+L255*'Multiple Regression Outputs'!$B$20+M255*'Multiple Regression Outputs'!$B$21+N255*'Multiple Regression Outputs'!$B$22+O255*'Multiple Regression Outputs'!$B$23+P255*'Multiple Regression Outputs'!$B$24+Q255*'Multiple Regression Outputs'!$B$25+R255*'Multiple Regression Outputs'!$B$26+S255*'Multiple Regression Outputs'!$B$27+T255*'Multiple Regression Outputs'!$B$28</f>
        <v>723603.52688189631</v>
      </c>
      <c r="V255" s="2">
        <f t="shared" si="3"/>
        <v>75443.413118103635</v>
      </c>
    </row>
    <row r="256" spans="1:22" ht="15" customHeight="1">
      <c r="A256" s="2">
        <v>255</v>
      </c>
      <c r="B256" s="2" t="s">
        <v>89</v>
      </c>
      <c r="C256" s="2" t="s">
        <v>19</v>
      </c>
      <c r="D256" s="2" t="s">
        <v>28</v>
      </c>
      <c r="E256" s="2" t="s">
        <v>25</v>
      </c>
      <c r="F256" s="2">
        <v>720079.54</v>
      </c>
      <c r="G256" s="2">
        <v>75412.740000000005</v>
      </c>
      <c r="H256" s="2">
        <v>5641</v>
      </c>
      <c r="I256" s="2">
        <v>5.8999999999999997E-2</v>
      </c>
      <c r="J256" s="2">
        <v>13</v>
      </c>
      <c r="K256" s="2">
        <v>87.9</v>
      </c>
      <c r="L256" s="2">
        <v>0.84</v>
      </c>
      <c r="M256" s="2">
        <v>0</v>
      </c>
      <c r="N256" s="2">
        <v>3.6</v>
      </c>
      <c r="O256" s="2">
        <v>0</v>
      </c>
      <c r="P256" s="2">
        <v>0</v>
      </c>
      <c r="Q256" s="2">
        <v>0</v>
      </c>
      <c r="R256" s="2">
        <v>0</v>
      </c>
      <c r="S256" s="2">
        <v>1</v>
      </c>
      <c r="T256" s="2">
        <v>0</v>
      </c>
      <c r="U256" s="2">
        <f>'Multiple Regression Outputs'!$B$14+G256*'Multiple Regression Outputs'!$B$15+H256*'Multiple Regression Outputs'!$B$16+I256*'Multiple Regression Outputs'!$B$17+J256*'Multiple Regression Outputs'!$B$18+K256*'Multiple Regression Outputs'!$B$19+L256*'Multiple Regression Outputs'!$B$20+M256*'Multiple Regression Outputs'!$B$21+N256*'Multiple Regression Outputs'!$B$22+O256*'Multiple Regression Outputs'!$B$23+P256*'Multiple Regression Outputs'!$B$24+Q256*'Multiple Regression Outputs'!$B$25+R256*'Multiple Regression Outputs'!$B$26+S256*'Multiple Regression Outputs'!$B$27+T256*'Multiple Regression Outputs'!$B$28</f>
        <v>707346.38584534591</v>
      </c>
      <c r="V256" s="2">
        <f t="shared" si="3"/>
        <v>12733.154154654127</v>
      </c>
    </row>
    <row r="257" spans="1:22" ht="15" customHeight="1">
      <c r="A257" s="2">
        <v>256</v>
      </c>
      <c r="B257" s="2" t="s">
        <v>89</v>
      </c>
      <c r="C257" s="2" t="s">
        <v>20</v>
      </c>
      <c r="D257" s="2" t="s">
        <v>28</v>
      </c>
      <c r="E257" s="2" t="s">
        <v>25</v>
      </c>
      <c r="F257" s="2">
        <v>612390.14</v>
      </c>
      <c r="G257" s="2">
        <v>36290.080000000002</v>
      </c>
      <c r="H257" s="2">
        <v>5787</v>
      </c>
      <c r="I257" s="2">
        <v>0</v>
      </c>
      <c r="J257" s="2">
        <v>17</v>
      </c>
      <c r="K257" s="2">
        <v>88.3</v>
      </c>
      <c r="L257" s="2">
        <v>4.1900000000000004</v>
      </c>
      <c r="M257" s="2">
        <v>0</v>
      </c>
      <c r="N257" s="2">
        <v>4.0999999999999996</v>
      </c>
      <c r="O257" s="2">
        <v>0</v>
      </c>
      <c r="P257" s="2">
        <v>0</v>
      </c>
      <c r="Q257" s="2">
        <v>0</v>
      </c>
      <c r="R257" s="2">
        <v>0</v>
      </c>
      <c r="S257" s="2">
        <v>1</v>
      </c>
      <c r="T257" s="2">
        <v>0</v>
      </c>
      <c r="U257" s="2">
        <f>'Multiple Regression Outputs'!$B$14+G257*'Multiple Regression Outputs'!$B$15+H257*'Multiple Regression Outputs'!$B$16+I257*'Multiple Regression Outputs'!$B$17+J257*'Multiple Regression Outputs'!$B$18+K257*'Multiple Regression Outputs'!$B$19+L257*'Multiple Regression Outputs'!$B$20+M257*'Multiple Regression Outputs'!$B$21+N257*'Multiple Regression Outputs'!$B$22+O257*'Multiple Regression Outputs'!$B$23+P257*'Multiple Regression Outputs'!$B$24+Q257*'Multiple Regression Outputs'!$B$25+R257*'Multiple Regression Outputs'!$B$26+S257*'Multiple Regression Outputs'!$B$27+T257*'Multiple Regression Outputs'!$B$28</f>
        <v>676430.74497133971</v>
      </c>
      <c r="V257" s="2">
        <f t="shared" si="3"/>
        <v>-64040.604971339693</v>
      </c>
    </row>
    <row r="258" spans="1:22" ht="15" customHeight="1">
      <c r="A258" s="2">
        <v>257</v>
      </c>
      <c r="B258" s="2" t="s">
        <v>90</v>
      </c>
      <c r="C258" s="2" t="s">
        <v>15</v>
      </c>
      <c r="D258" s="2" t="s">
        <v>28</v>
      </c>
      <c r="E258" s="2" t="s">
        <v>32</v>
      </c>
      <c r="F258" s="2">
        <v>840108.12</v>
      </c>
      <c r="G258" s="2">
        <v>65272.58</v>
      </c>
      <c r="H258" s="2">
        <v>8165</v>
      </c>
      <c r="I258" s="2">
        <v>5.0999999999999997E-2</v>
      </c>
      <c r="J258" s="2">
        <v>19</v>
      </c>
      <c r="K258" s="2">
        <v>87.8</v>
      </c>
      <c r="L258" s="2">
        <v>1.26</v>
      </c>
      <c r="M258" s="2">
        <v>1</v>
      </c>
      <c r="N258" s="2">
        <v>4.3</v>
      </c>
      <c r="O258" s="2">
        <v>0</v>
      </c>
      <c r="P258" s="2">
        <v>1</v>
      </c>
      <c r="Q258" s="2">
        <v>0</v>
      </c>
      <c r="R258" s="2">
        <v>0</v>
      </c>
      <c r="S258" s="2">
        <v>1</v>
      </c>
      <c r="T258" s="2">
        <v>0</v>
      </c>
      <c r="U258" s="2">
        <f>'Multiple Regression Outputs'!$B$14+G258*'Multiple Regression Outputs'!$B$15+H258*'Multiple Regression Outputs'!$B$16+I258*'Multiple Regression Outputs'!$B$17+J258*'Multiple Regression Outputs'!$B$18+K258*'Multiple Regression Outputs'!$B$19+L258*'Multiple Regression Outputs'!$B$20+M258*'Multiple Regression Outputs'!$B$21+N258*'Multiple Regression Outputs'!$B$22+O258*'Multiple Regression Outputs'!$B$23+P258*'Multiple Regression Outputs'!$B$24+Q258*'Multiple Regression Outputs'!$B$25+R258*'Multiple Regression Outputs'!$B$26+S258*'Multiple Regression Outputs'!$B$27+T258*'Multiple Regression Outputs'!$B$28</f>
        <v>795755.85569238011</v>
      </c>
      <c r="V258" s="2">
        <f t="shared" ref="V258:V321" si="4">F258-U258</f>
        <v>44352.264307619887</v>
      </c>
    </row>
    <row r="259" spans="1:22" ht="15" customHeight="1">
      <c r="A259" s="2">
        <v>258</v>
      </c>
      <c r="B259" s="2" t="s">
        <v>90</v>
      </c>
      <c r="C259" s="2" t="s">
        <v>18</v>
      </c>
      <c r="D259" s="2" t="s">
        <v>28</v>
      </c>
      <c r="E259" s="2" t="s">
        <v>32</v>
      </c>
      <c r="F259" s="2">
        <v>697888.09</v>
      </c>
      <c r="G259" s="2">
        <v>28670.43</v>
      </c>
      <c r="H259" s="2">
        <v>7574</v>
      </c>
      <c r="I259" s="2">
        <v>0.114</v>
      </c>
      <c r="J259" s="2">
        <v>19</v>
      </c>
      <c r="K259" s="2">
        <v>82.7</v>
      </c>
      <c r="L259" s="2">
        <v>2.74</v>
      </c>
      <c r="M259" s="2">
        <v>0</v>
      </c>
      <c r="N259" s="2">
        <v>4.5999999999999996</v>
      </c>
      <c r="O259" s="2">
        <v>0</v>
      </c>
      <c r="P259" s="2">
        <v>1</v>
      </c>
      <c r="Q259" s="2">
        <v>0</v>
      </c>
      <c r="R259" s="2">
        <v>0</v>
      </c>
      <c r="S259" s="2">
        <v>1</v>
      </c>
      <c r="T259" s="2">
        <v>0</v>
      </c>
      <c r="U259" s="2">
        <f>'Multiple Regression Outputs'!$B$14+G259*'Multiple Regression Outputs'!$B$15+H259*'Multiple Regression Outputs'!$B$16+I259*'Multiple Regression Outputs'!$B$17+J259*'Multiple Regression Outputs'!$B$18+K259*'Multiple Regression Outputs'!$B$19+L259*'Multiple Regression Outputs'!$B$20+M259*'Multiple Regression Outputs'!$B$21+N259*'Multiple Regression Outputs'!$B$22+O259*'Multiple Regression Outputs'!$B$23+P259*'Multiple Regression Outputs'!$B$24+Q259*'Multiple Regression Outputs'!$B$25+R259*'Multiple Regression Outputs'!$B$26+S259*'Multiple Regression Outputs'!$B$27+T259*'Multiple Regression Outputs'!$B$28</f>
        <v>700605.74097020098</v>
      </c>
      <c r="V259" s="2">
        <f t="shared" si="4"/>
        <v>-2717.650970201008</v>
      </c>
    </row>
    <row r="260" spans="1:22" ht="15" customHeight="1">
      <c r="A260" s="2">
        <v>259</v>
      </c>
      <c r="B260" s="2" t="s">
        <v>90</v>
      </c>
      <c r="C260" s="2" t="s">
        <v>19</v>
      </c>
      <c r="D260" s="2" t="s">
        <v>28</v>
      </c>
      <c r="E260" s="2" t="s">
        <v>32</v>
      </c>
      <c r="F260" s="2">
        <v>746115.59</v>
      </c>
      <c r="G260" s="2">
        <v>44189.34</v>
      </c>
      <c r="H260" s="2">
        <v>8634</v>
      </c>
      <c r="I260" s="2">
        <v>0.14299999999999999</v>
      </c>
      <c r="J260" s="2">
        <v>19</v>
      </c>
      <c r="K260" s="2">
        <v>87.5</v>
      </c>
      <c r="L260" s="2">
        <v>3.69</v>
      </c>
      <c r="M260" s="2">
        <v>0</v>
      </c>
      <c r="N260" s="2">
        <v>4.4000000000000004</v>
      </c>
      <c r="O260" s="2">
        <v>0</v>
      </c>
      <c r="P260" s="2">
        <v>1</v>
      </c>
      <c r="Q260" s="2">
        <v>0</v>
      </c>
      <c r="R260" s="2">
        <v>0</v>
      </c>
      <c r="S260" s="2">
        <v>1</v>
      </c>
      <c r="T260" s="2">
        <v>0</v>
      </c>
      <c r="U260" s="2">
        <f>'Multiple Regression Outputs'!$B$14+G260*'Multiple Regression Outputs'!$B$15+H260*'Multiple Regression Outputs'!$B$16+I260*'Multiple Regression Outputs'!$B$17+J260*'Multiple Regression Outputs'!$B$18+K260*'Multiple Regression Outputs'!$B$19+L260*'Multiple Regression Outputs'!$B$20+M260*'Multiple Regression Outputs'!$B$21+N260*'Multiple Regression Outputs'!$B$22+O260*'Multiple Regression Outputs'!$B$23+P260*'Multiple Regression Outputs'!$B$24+Q260*'Multiple Regression Outputs'!$B$25+R260*'Multiple Regression Outputs'!$B$26+S260*'Multiple Regression Outputs'!$B$27+T260*'Multiple Regression Outputs'!$B$28</f>
        <v>756093.3421278029</v>
      </c>
      <c r="V260" s="2">
        <f t="shared" si="4"/>
        <v>-9977.7521278029308</v>
      </c>
    </row>
    <row r="261" spans="1:22" ht="15" customHeight="1">
      <c r="A261" s="2">
        <v>260</v>
      </c>
      <c r="B261" s="2" t="s">
        <v>90</v>
      </c>
      <c r="C261" s="2" t="s">
        <v>20</v>
      </c>
      <c r="D261" s="2" t="s">
        <v>28</v>
      </c>
      <c r="E261" s="2" t="s">
        <v>32</v>
      </c>
      <c r="F261" s="2">
        <v>776110.32</v>
      </c>
      <c r="G261" s="2">
        <v>38397.82</v>
      </c>
      <c r="H261" s="2">
        <v>7836</v>
      </c>
      <c r="I261" s="2">
        <v>7.0000000000000001E-3</v>
      </c>
      <c r="J261" s="2">
        <v>21</v>
      </c>
      <c r="K261" s="2">
        <v>92.2</v>
      </c>
      <c r="L261" s="2">
        <v>1.82</v>
      </c>
      <c r="M261" s="2">
        <v>0</v>
      </c>
      <c r="N261" s="2">
        <v>3.6</v>
      </c>
      <c r="O261" s="2">
        <v>0</v>
      </c>
      <c r="P261" s="2">
        <v>1</v>
      </c>
      <c r="Q261" s="2">
        <v>0</v>
      </c>
      <c r="R261" s="2">
        <v>0</v>
      </c>
      <c r="S261" s="2">
        <v>1</v>
      </c>
      <c r="T261" s="2">
        <v>0</v>
      </c>
      <c r="U261" s="2">
        <f>'Multiple Regression Outputs'!$B$14+G261*'Multiple Regression Outputs'!$B$15+H261*'Multiple Regression Outputs'!$B$16+I261*'Multiple Regression Outputs'!$B$17+J261*'Multiple Regression Outputs'!$B$18+K261*'Multiple Regression Outputs'!$B$19+L261*'Multiple Regression Outputs'!$B$20+M261*'Multiple Regression Outputs'!$B$21+N261*'Multiple Regression Outputs'!$B$22+O261*'Multiple Regression Outputs'!$B$23+P261*'Multiple Regression Outputs'!$B$24+Q261*'Multiple Regression Outputs'!$B$25+R261*'Multiple Regression Outputs'!$B$26+S261*'Multiple Regression Outputs'!$B$27+T261*'Multiple Regression Outputs'!$B$28</f>
        <v>750711.68126272864</v>
      </c>
      <c r="V261" s="2">
        <f t="shared" si="4"/>
        <v>25398.638737271307</v>
      </c>
    </row>
    <row r="262" spans="1:22" ht="15" customHeight="1">
      <c r="A262" s="2">
        <v>261</v>
      </c>
      <c r="B262" s="2" t="s">
        <v>91</v>
      </c>
      <c r="C262" s="2" t="s">
        <v>15</v>
      </c>
      <c r="D262" s="2" t="s">
        <v>31</v>
      </c>
      <c r="E262" s="2" t="s">
        <v>22</v>
      </c>
      <c r="F262" s="2">
        <v>528852.62</v>
      </c>
      <c r="G262" s="2">
        <v>14519.37</v>
      </c>
      <c r="H262" s="2">
        <v>3047</v>
      </c>
      <c r="I262" s="2">
        <v>0.13500000000000001</v>
      </c>
      <c r="J262" s="2">
        <v>10</v>
      </c>
      <c r="K262" s="2">
        <v>90.3</v>
      </c>
      <c r="L262" s="2">
        <v>6.62</v>
      </c>
      <c r="M262" s="2">
        <v>0</v>
      </c>
      <c r="N262" s="2">
        <v>4.2</v>
      </c>
      <c r="O262" s="2">
        <v>1</v>
      </c>
      <c r="P262" s="2">
        <v>0</v>
      </c>
      <c r="Q262" s="2">
        <v>0</v>
      </c>
      <c r="R262" s="2">
        <v>0</v>
      </c>
      <c r="S262" s="2">
        <v>0</v>
      </c>
      <c r="T262" s="2">
        <v>1</v>
      </c>
      <c r="U262" s="2">
        <f>'Multiple Regression Outputs'!$B$14+G262*'Multiple Regression Outputs'!$B$15+H262*'Multiple Regression Outputs'!$B$16+I262*'Multiple Regression Outputs'!$B$17+J262*'Multiple Regression Outputs'!$B$18+K262*'Multiple Regression Outputs'!$B$19+L262*'Multiple Regression Outputs'!$B$20+M262*'Multiple Regression Outputs'!$B$21+N262*'Multiple Regression Outputs'!$B$22+O262*'Multiple Regression Outputs'!$B$23+P262*'Multiple Regression Outputs'!$B$24+Q262*'Multiple Regression Outputs'!$B$25+R262*'Multiple Regression Outputs'!$B$26+S262*'Multiple Regression Outputs'!$B$27+T262*'Multiple Regression Outputs'!$B$28</f>
        <v>523808.73149147321</v>
      </c>
      <c r="V262" s="2">
        <f t="shared" si="4"/>
        <v>5043.888508526783</v>
      </c>
    </row>
    <row r="263" spans="1:22" ht="15" customHeight="1">
      <c r="A263" s="2">
        <v>262</v>
      </c>
      <c r="B263" s="2" t="s">
        <v>91</v>
      </c>
      <c r="C263" s="2" t="s">
        <v>18</v>
      </c>
      <c r="D263" s="2" t="s">
        <v>31</v>
      </c>
      <c r="E263" s="2" t="s">
        <v>22</v>
      </c>
      <c r="F263" s="2">
        <v>605751.32999999996</v>
      </c>
      <c r="G263" s="2">
        <v>43288.2</v>
      </c>
      <c r="H263" s="2">
        <v>4783</v>
      </c>
      <c r="I263" s="2">
        <v>0.16900000000000001</v>
      </c>
      <c r="J263" s="2">
        <v>13</v>
      </c>
      <c r="K263" s="2">
        <v>87.3</v>
      </c>
      <c r="L263" s="2">
        <v>3.3650000000000002</v>
      </c>
      <c r="M263" s="2">
        <v>0</v>
      </c>
      <c r="N263" s="2">
        <v>4.2</v>
      </c>
      <c r="O263" s="2">
        <v>1</v>
      </c>
      <c r="P263" s="2">
        <v>0</v>
      </c>
      <c r="Q263" s="2">
        <v>0</v>
      </c>
      <c r="R263" s="2">
        <v>0</v>
      </c>
      <c r="S263" s="2">
        <v>0</v>
      </c>
      <c r="T263" s="2">
        <v>1</v>
      </c>
      <c r="U263" s="2">
        <f>'Multiple Regression Outputs'!$B$14+G263*'Multiple Regression Outputs'!$B$15+H263*'Multiple Regression Outputs'!$B$16+I263*'Multiple Regression Outputs'!$B$17+J263*'Multiple Regression Outputs'!$B$18+K263*'Multiple Regression Outputs'!$B$19+L263*'Multiple Regression Outputs'!$B$20+M263*'Multiple Regression Outputs'!$B$21+N263*'Multiple Regression Outputs'!$B$22+O263*'Multiple Regression Outputs'!$B$23+P263*'Multiple Regression Outputs'!$B$24+Q263*'Multiple Regression Outputs'!$B$25+R263*'Multiple Regression Outputs'!$B$26+S263*'Multiple Regression Outputs'!$B$27+T263*'Multiple Regression Outputs'!$B$28</f>
        <v>617199.93361311103</v>
      </c>
      <c r="V263" s="2">
        <f t="shared" si="4"/>
        <v>-11448.603613111074</v>
      </c>
    </row>
    <row r="264" spans="1:22" ht="15" customHeight="1">
      <c r="A264" s="2">
        <v>263</v>
      </c>
      <c r="B264" s="2" t="s">
        <v>91</v>
      </c>
      <c r="C264" s="2" t="s">
        <v>19</v>
      </c>
      <c r="D264" s="2" t="s">
        <v>31</v>
      </c>
      <c r="E264" s="2" t="s">
        <v>22</v>
      </c>
      <c r="F264" s="2">
        <v>677640.65</v>
      </c>
      <c r="G264" s="2">
        <v>51450.55</v>
      </c>
      <c r="H264" s="2">
        <v>4902</v>
      </c>
      <c r="I264" s="2">
        <v>8.5999999999999993E-2</v>
      </c>
      <c r="J264" s="2">
        <v>11</v>
      </c>
      <c r="K264" s="2">
        <v>83.7</v>
      </c>
      <c r="L264" s="2">
        <v>6.92</v>
      </c>
      <c r="M264" s="2">
        <v>1</v>
      </c>
      <c r="N264" s="2">
        <v>4.2</v>
      </c>
      <c r="O264" s="2">
        <v>1</v>
      </c>
      <c r="P264" s="2">
        <v>0</v>
      </c>
      <c r="Q264" s="2">
        <v>0</v>
      </c>
      <c r="R264" s="2">
        <v>0</v>
      </c>
      <c r="S264" s="2">
        <v>0</v>
      </c>
      <c r="T264" s="2">
        <v>1</v>
      </c>
      <c r="U264" s="2">
        <f>'Multiple Regression Outputs'!$B$14+G264*'Multiple Regression Outputs'!$B$15+H264*'Multiple Regression Outputs'!$B$16+I264*'Multiple Regression Outputs'!$B$17+J264*'Multiple Regression Outputs'!$B$18+K264*'Multiple Regression Outputs'!$B$19+L264*'Multiple Regression Outputs'!$B$20+M264*'Multiple Regression Outputs'!$B$21+N264*'Multiple Regression Outputs'!$B$22+O264*'Multiple Regression Outputs'!$B$23+P264*'Multiple Regression Outputs'!$B$24+Q264*'Multiple Regression Outputs'!$B$25+R264*'Multiple Regression Outputs'!$B$26+S264*'Multiple Regression Outputs'!$B$27+T264*'Multiple Regression Outputs'!$B$28</f>
        <v>618646.0402826987</v>
      </c>
      <c r="V264" s="2">
        <f t="shared" si="4"/>
        <v>58994.609717301326</v>
      </c>
    </row>
    <row r="265" spans="1:22" ht="15" customHeight="1">
      <c r="A265" s="2">
        <v>264</v>
      </c>
      <c r="B265" s="2" t="s">
        <v>91</v>
      </c>
      <c r="C265" s="2" t="s">
        <v>20</v>
      </c>
      <c r="D265" s="2" t="s">
        <v>31</v>
      </c>
      <c r="E265" s="2" t="s">
        <v>22</v>
      </c>
      <c r="F265" s="2">
        <v>636613.23</v>
      </c>
      <c r="G265" s="2">
        <v>58688.26</v>
      </c>
      <c r="H265" s="2">
        <v>4022</v>
      </c>
      <c r="I265" s="2">
        <v>0.217</v>
      </c>
      <c r="J265" s="2">
        <v>12</v>
      </c>
      <c r="K265" s="2">
        <v>93.8</v>
      </c>
      <c r="L265" s="2">
        <v>11.78</v>
      </c>
      <c r="M265" s="2">
        <v>0</v>
      </c>
      <c r="N265" s="2">
        <v>3.7</v>
      </c>
      <c r="O265" s="2">
        <v>1</v>
      </c>
      <c r="P265" s="2">
        <v>0</v>
      </c>
      <c r="Q265" s="2">
        <v>0</v>
      </c>
      <c r="R265" s="2">
        <v>0</v>
      </c>
      <c r="S265" s="2">
        <v>0</v>
      </c>
      <c r="T265" s="2">
        <v>1</v>
      </c>
      <c r="U265" s="2">
        <f>'Multiple Regression Outputs'!$B$14+G265*'Multiple Regression Outputs'!$B$15+H265*'Multiple Regression Outputs'!$B$16+I265*'Multiple Regression Outputs'!$B$17+J265*'Multiple Regression Outputs'!$B$18+K265*'Multiple Regression Outputs'!$B$19+L265*'Multiple Regression Outputs'!$B$20+M265*'Multiple Regression Outputs'!$B$21+N265*'Multiple Regression Outputs'!$B$22+O265*'Multiple Regression Outputs'!$B$23+P265*'Multiple Regression Outputs'!$B$24+Q265*'Multiple Regression Outputs'!$B$25+R265*'Multiple Regression Outputs'!$B$26+S265*'Multiple Regression Outputs'!$B$27+T265*'Multiple Regression Outputs'!$B$28</f>
        <v>594259.94856180961</v>
      </c>
      <c r="V265" s="2">
        <f t="shared" si="4"/>
        <v>42353.281438190374</v>
      </c>
    </row>
    <row r="266" spans="1:22" ht="15" customHeight="1">
      <c r="A266" s="2">
        <v>265</v>
      </c>
      <c r="B266" s="2" t="s">
        <v>92</v>
      </c>
      <c r="C266" s="2" t="s">
        <v>15</v>
      </c>
      <c r="D266" s="2" t="s">
        <v>16</v>
      </c>
      <c r="E266" s="2" t="s">
        <v>22</v>
      </c>
      <c r="F266" s="2">
        <v>708985.19</v>
      </c>
      <c r="G266" s="2">
        <v>58981.91</v>
      </c>
      <c r="H266" s="2">
        <v>7324</v>
      </c>
      <c r="I266" s="2">
        <v>9.4E-2</v>
      </c>
      <c r="J266" s="2">
        <v>15</v>
      </c>
      <c r="K266" s="2">
        <v>95.8</v>
      </c>
      <c r="L266" s="2">
        <v>0.5</v>
      </c>
      <c r="M266" s="2">
        <v>0</v>
      </c>
      <c r="N266" s="2">
        <v>3.5</v>
      </c>
      <c r="O266" s="2">
        <v>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f>'Multiple Regression Outputs'!$B$14+G266*'Multiple Regression Outputs'!$B$15+H266*'Multiple Regression Outputs'!$B$16+I266*'Multiple Regression Outputs'!$B$17+J266*'Multiple Regression Outputs'!$B$18+K266*'Multiple Regression Outputs'!$B$19+L266*'Multiple Regression Outputs'!$B$20+M266*'Multiple Regression Outputs'!$B$21+N266*'Multiple Regression Outputs'!$B$22+O266*'Multiple Regression Outputs'!$B$23+P266*'Multiple Regression Outputs'!$B$24+Q266*'Multiple Regression Outputs'!$B$25+R266*'Multiple Regression Outputs'!$B$26+S266*'Multiple Regression Outputs'!$B$27+T266*'Multiple Regression Outputs'!$B$28</f>
        <v>717590.43077220989</v>
      </c>
      <c r="V266" s="2">
        <f t="shared" si="4"/>
        <v>-8605.2407722099451</v>
      </c>
    </row>
    <row r="267" spans="1:22" ht="15" customHeight="1">
      <c r="A267" s="2">
        <v>266</v>
      </c>
      <c r="B267" s="2" t="s">
        <v>92</v>
      </c>
      <c r="C267" s="2" t="s">
        <v>18</v>
      </c>
      <c r="D267" s="2" t="s">
        <v>16</v>
      </c>
      <c r="E267" s="2" t="s">
        <v>22</v>
      </c>
      <c r="F267" s="2">
        <v>767792.94</v>
      </c>
      <c r="G267" s="2">
        <v>73454.539999999994</v>
      </c>
      <c r="H267" s="2">
        <v>8129</v>
      </c>
      <c r="I267" s="2">
        <v>0.21099999999999999</v>
      </c>
      <c r="J267" s="2">
        <v>20</v>
      </c>
      <c r="K267" s="2">
        <v>85.2</v>
      </c>
      <c r="L267" s="2">
        <v>0.88</v>
      </c>
      <c r="M267" s="2">
        <v>0</v>
      </c>
      <c r="N267" s="2">
        <v>3.7</v>
      </c>
      <c r="O267" s="2">
        <v>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f>'Multiple Regression Outputs'!$B$14+G267*'Multiple Regression Outputs'!$B$15+H267*'Multiple Regression Outputs'!$B$16+I267*'Multiple Regression Outputs'!$B$17+J267*'Multiple Regression Outputs'!$B$18+K267*'Multiple Regression Outputs'!$B$19+L267*'Multiple Regression Outputs'!$B$20+M267*'Multiple Regression Outputs'!$B$21+N267*'Multiple Regression Outputs'!$B$22+O267*'Multiple Regression Outputs'!$B$23+P267*'Multiple Regression Outputs'!$B$24+Q267*'Multiple Regression Outputs'!$B$25+R267*'Multiple Regression Outputs'!$B$26+S267*'Multiple Regression Outputs'!$B$27+T267*'Multiple Regression Outputs'!$B$28</f>
        <v>738559.44462288509</v>
      </c>
      <c r="V267" s="2">
        <f t="shared" si="4"/>
        <v>29233.495377114858</v>
      </c>
    </row>
    <row r="268" spans="1:22" ht="15" customHeight="1">
      <c r="A268" s="2">
        <v>267</v>
      </c>
      <c r="B268" s="2" t="s">
        <v>92</v>
      </c>
      <c r="C268" s="2" t="s">
        <v>19</v>
      </c>
      <c r="D268" s="2" t="s">
        <v>16</v>
      </c>
      <c r="E268" s="2" t="s">
        <v>22</v>
      </c>
      <c r="F268" s="2">
        <v>745580.51</v>
      </c>
      <c r="G268" s="2">
        <v>56602.39</v>
      </c>
      <c r="H268" s="2">
        <v>7969</v>
      </c>
      <c r="I268" s="2">
        <v>0.17</v>
      </c>
      <c r="J268" s="2">
        <v>21</v>
      </c>
      <c r="K268" s="2">
        <v>88.3</v>
      </c>
      <c r="L268" s="2">
        <v>2.25</v>
      </c>
      <c r="M268" s="2">
        <v>0</v>
      </c>
      <c r="N268" s="2">
        <v>3.7</v>
      </c>
      <c r="O268" s="2">
        <v>1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f>'Multiple Regression Outputs'!$B$14+G268*'Multiple Regression Outputs'!$B$15+H268*'Multiple Regression Outputs'!$B$16+I268*'Multiple Regression Outputs'!$B$17+J268*'Multiple Regression Outputs'!$B$18+K268*'Multiple Regression Outputs'!$B$19+L268*'Multiple Regression Outputs'!$B$20+M268*'Multiple Regression Outputs'!$B$21+N268*'Multiple Regression Outputs'!$B$22+O268*'Multiple Regression Outputs'!$B$23+P268*'Multiple Regression Outputs'!$B$24+Q268*'Multiple Regression Outputs'!$B$25+R268*'Multiple Regression Outputs'!$B$26+S268*'Multiple Regression Outputs'!$B$27+T268*'Multiple Regression Outputs'!$B$28</f>
        <v>723777.76932843239</v>
      </c>
      <c r="V268" s="2">
        <f t="shared" si="4"/>
        <v>21802.740671567619</v>
      </c>
    </row>
    <row r="269" spans="1:22" ht="15" customHeight="1">
      <c r="A269" s="2">
        <v>268</v>
      </c>
      <c r="B269" s="2" t="s">
        <v>92</v>
      </c>
      <c r="C269" s="2" t="s">
        <v>20</v>
      </c>
      <c r="D269" s="2" t="s">
        <v>16</v>
      </c>
      <c r="E269" s="2" t="s">
        <v>22</v>
      </c>
      <c r="F269" s="2">
        <v>762328.31</v>
      </c>
      <c r="G269" s="2">
        <v>67722.289999999994</v>
      </c>
      <c r="H269" s="2">
        <v>7240</v>
      </c>
      <c r="I269" s="2">
        <v>2.5999999999999999E-2</v>
      </c>
      <c r="J269" s="2">
        <v>15</v>
      </c>
      <c r="K269" s="2">
        <v>92.9</v>
      </c>
      <c r="L269" s="2">
        <v>0.28999999999999998</v>
      </c>
      <c r="M269" s="2">
        <v>0</v>
      </c>
      <c r="N269" s="2">
        <v>3.5</v>
      </c>
      <c r="O269" s="2">
        <v>1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f>'Multiple Regression Outputs'!$B$14+G269*'Multiple Regression Outputs'!$B$15+H269*'Multiple Regression Outputs'!$B$16+I269*'Multiple Regression Outputs'!$B$17+J269*'Multiple Regression Outputs'!$B$18+K269*'Multiple Regression Outputs'!$B$19+L269*'Multiple Regression Outputs'!$B$20+M269*'Multiple Regression Outputs'!$B$21+N269*'Multiple Regression Outputs'!$B$22+O269*'Multiple Regression Outputs'!$B$23+P269*'Multiple Regression Outputs'!$B$24+Q269*'Multiple Regression Outputs'!$B$25+R269*'Multiple Regression Outputs'!$B$26+S269*'Multiple Regression Outputs'!$B$27+T269*'Multiple Regression Outputs'!$B$28</f>
        <v>720515.55215502856</v>
      </c>
      <c r="V269" s="2">
        <f t="shared" si="4"/>
        <v>41812.757844971493</v>
      </c>
    </row>
    <row r="270" spans="1:22" ht="15" customHeight="1">
      <c r="A270" s="2">
        <v>269</v>
      </c>
      <c r="B270" s="2" t="s">
        <v>93</v>
      </c>
      <c r="C270" s="2" t="s">
        <v>15</v>
      </c>
      <c r="D270" s="2" t="s">
        <v>16</v>
      </c>
      <c r="E270" s="2" t="s">
        <v>32</v>
      </c>
      <c r="F270" s="2">
        <v>660633.99</v>
      </c>
      <c r="G270" s="2">
        <v>48752.92</v>
      </c>
      <c r="H270" s="2">
        <v>8052</v>
      </c>
      <c r="I270" s="2">
        <v>0.106</v>
      </c>
      <c r="J270" s="2">
        <v>16</v>
      </c>
      <c r="K270" s="2">
        <v>94.9</v>
      </c>
      <c r="L270" s="2">
        <v>0.65</v>
      </c>
      <c r="M270" s="2">
        <v>0</v>
      </c>
      <c r="N270" s="2">
        <v>3.6</v>
      </c>
      <c r="O270" s="2">
        <v>0</v>
      </c>
      <c r="P270" s="2">
        <v>1</v>
      </c>
      <c r="Q270" s="2">
        <v>0</v>
      </c>
      <c r="R270" s="2">
        <v>0</v>
      </c>
      <c r="S270" s="2">
        <v>0</v>
      </c>
      <c r="T270" s="2">
        <v>0</v>
      </c>
      <c r="U270" s="2">
        <f>'Multiple Regression Outputs'!$B$14+G270*'Multiple Regression Outputs'!$B$15+H270*'Multiple Regression Outputs'!$B$16+I270*'Multiple Regression Outputs'!$B$17+J270*'Multiple Regression Outputs'!$B$18+K270*'Multiple Regression Outputs'!$B$19+L270*'Multiple Regression Outputs'!$B$20+M270*'Multiple Regression Outputs'!$B$21+N270*'Multiple Regression Outputs'!$B$22+O270*'Multiple Regression Outputs'!$B$23+P270*'Multiple Regression Outputs'!$B$24+Q270*'Multiple Regression Outputs'!$B$25+R270*'Multiple Regression Outputs'!$B$26+S270*'Multiple Regression Outputs'!$B$27+T270*'Multiple Regression Outputs'!$B$28</f>
        <v>738721.15065490361</v>
      </c>
      <c r="V270" s="2">
        <f t="shared" si="4"/>
        <v>-78087.160654903622</v>
      </c>
    </row>
    <row r="271" spans="1:22" ht="15" customHeight="1">
      <c r="A271" s="2">
        <v>270</v>
      </c>
      <c r="B271" s="2" t="s">
        <v>93</v>
      </c>
      <c r="C271" s="2" t="s">
        <v>18</v>
      </c>
      <c r="D271" s="2" t="s">
        <v>16</v>
      </c>
      <c r="E271" s="2" t="s">
        <v>32</v>
      </c>
      <c r="F271" s="2">
        <v>739374.56</v>
      </c>
      <c r="G271" s="2">
        <v>23914.97</v>
      </c>
      <c r="H271" s="2">
        <v>8018</v>
      </c>
      <c r="I271" s="2">
        <v>0.13900000000000001</v>
      </c>
      <c r="J271" s="2">
        <v>20</v>
      </c>
      <c r="K271" s="2">
        <v>89</v>
      </c>
      <c r="L271" s="2">
        <v>0.2</v>
      </c>
      <c r="M271" s="2">
        <v>0</v>
      </c>
      <c r="N271" s="2">
        <v>3.5</v>
      </c>
      <c r="O271" s="2">
        <v>0</v>
      </c>
      <c r="P271" s="2">
        <v>1</v>
      </c>
      <c r="Q271" s="2">
        <v>0</v>
      </c>
      <c r="R271" s="2">
        <v>0</v>
      </c>
      <c r="S271" s="2">
        <v>0</v>
      </c>
      <c r="T271" s="2">
        <v>0</v>
      </c>
      <c r="U271" s="2">
        <f>'Multiple Regression Outputs'!$B$14+G271*'Multiple Regression Outputs'!$B$15+H271*'Multiple Regression Outputs'!$B$16+I271*'Multiple Regression Outputs'!$B$17+J271*'Multiple Regression Outputs'!$B$18+K271*'Multiple Regression Outputs'!$B$19+L271*'Multiple Regression Outputs'!$B$20+M271*'Multiple Regression Outputs'!$B$21+N271*'Multiple Regression Outputs'!$B$22+O271*'Multiple Regression Outputs'!$B$23+P271*'Multiple Regression Outputs'!$B$24+Q271*'Multiple Regression Outputs'!$B$25+R271*'Multiple Regression Outputs'!$B$26+S271*'Multiple Regression Outputs'!$B$27+T271*'Multiple Regression Outputs'!$B$28</f>
        <v>702641.31112842413</v>
      </c>
      <c r="V271" s="2">
        <f t="shared" si="4"/>
        <v>36733.248871575925</v>
      </c>
    </row>
    <row r="272" spans="1:22" ht="15" customHeight="1">
      <c r="A272" s="2">
        <v>271</v>
      </c>
      <c r="B272" s="2" t="s">
        <v>93</v>
      </c>
      <c r="C272" s="2" t="s">
        <v>19</v>
      </c>
      <c r="D272" s="2" t="s">
        <v>16</v>
      </c>
      <c r="E272" s="2" t="s">
        <v>32</v>
      </c>
      <c r="F272" s="2">
        <v>799756.46</v>
      </c>
      <c r="G272" s="2">
        <v>61995.3</v>
      </c>
      <c r="H272" s="2">
        <v>10192</v>
      </c>
      <c r="I272" s="2">
        <v>0.19800000000000001</v>
      </c>
      <c r="J272" s="2">
        <v>21</v>
      </c>
      <c r="K272" s="2">
        <v>87.6</v>
      </c>
      <c r="L272" s="2">
        <v>3.63</v>
      </c>
      <c r="M272" s="2">
        <v>1</v>
      </c>
      <c r="N272" s="2">
        <v>3.8</v>
      </c>
      <c r="O272" s="2">
        <v>0</v>
      </c>
      <c r="P272" s="2">
        <v>1</v>
      </c>
      <c r="Q272" s="2">
        <v>0</v>
      </c>
      <c r="R272" s="2">
        <v>0</v>
      </c>
      <c r="S272" s="2">
        <v>0</v>
      </c>
      <c r="T272" s="2">
        <v>0</v>
      </c>
      <c r="U272" s="2">
        <f>'Multiple Regression Outputs'!$B$14+G272*'Multiple Regression Outputs'!$B$15+H272*'Multiple Regression Outputs'!$B$16+I272*'Multiple Regression Outputs'!$B$17+J272*'Multiple Regression Outputs'!$B$18+K272*'Multiple Regression Outputs'!$B$19+L272*'Multiple Regression Outputs'!$B$20+M272*'Multiple Regression Outputs'!$B$21+N272*'Multiple Regression Outputs'!$B$22+O272*'Multiple Regression Outputs'!$B$23+P272*'Multiple Regression Outputs'!$B$24+Q272*'Multiple Regression Outputs'!$B$25+R272*'Multiple Regression Outputs'!$B$26+S272*'Multiple Regression Outputs'!$B$27+T272*'Multiple Regression Outputs'!$B$28</f>
        <v>812050.04943531589</v>
      </c>
      <c r="V272" s="2">
        <f t="shared" si="4"/>
        <v>-12293.589435315924</v>
      </c>
    </row>
    <row r="273" spans="1:22" ht="15" customHeight="1">
      <c r="A273" s="2">
        <v>272</v>
      </c>
      <c r="B273" s="2" t="s">
        <v>93</v>
      </c>
      <c r="C273" s="2" t="s">
        <v>20</v>
      </c>
      <c r="D273" s="2" t="s">
        <v>16</v>
      </c>
      <c r="E273" s="2" t="s">
        <v>32</v>
      </c>
      <c r="F273" s="2">
        <v>593343</v>
      </c>
      <c r="G273" s="2">
        <v>29344.93</v>
      </c>
      <c r="H273" s="2">
        <v>7446</v>
      </c>
      <c r="I273" s="2">
        <v>0.111</v>
      </c>
      <c r="J273" s="2">
        <v>15</v>
      </c>
      <c r="K273" s="2">
        <v>86.2</v>
      </c>
      <c r="L273" s="2">
        <v>0.2</v>
      </c>
      <c r="M273" s="2">
        <v>0</v>
      </c>
      <c r="N273" s="2">
        <v>3.2</v>
      </c>
      <c r="O273" s="2">
        <v>0</v>
      </c>
      <c r="P273" s="2">
        <v>1</v>
      </c>
      <c r="Q273" s="2">
        <v>0</v>
      </c>
      <c r="R273" s="2">
        <v>0</v>
      </c>
      <c r="S273" s="2">
        <v>0</v>
      </c>
      <c r="T273" s="2">
        <v>0</v>
      </c>
      <c r="U273" s="2">
        <f>'Multiple Regression Outputs'!$B$14+G273*'Multiple Regression Outputs'!$B$15+H273*'Multiple Regression Outputs'!$B$16+I273*'Multiple Regression Outputs'!$B$17+J273*'Multiple Regression Outputs'!$B$18+K273*'Multiple Regression Outputs'!$B$19+L273*'Multiple Regression Outputs'!$B$20+M273*'Multiple Regression Outputs'!$B$21+N273*'Multiple Regression Outputs'!$B$22+O273*'Multiple Regression Outputs'!$B$23+P273*'Multiple Regression Outputs'!$B$24+Q273*'Multiple Regression Outputs'!$B$25+R273*'Multiple Regression Outputs'!$B$26+S273*'Multiple Regression Outputs'!$B$27+T273*'Multiple Regression Outputs'!$B$28</f>
        <v>664860.6561678811</v>
      </c>
      <c r="V273" s="2">
        <f t="shared" si="4"/>
        <v>-71517.656167881098</v>
      </c>
    </row>
    <row r="274" spans="1:22" ht="15" customHeight="1">
      <c r="A274" s="2">
        <v>273</v>
      </c>
      <c r="B274" s="2" t="s">
        <v>94</v>
      </c>
      <c r="C274" s="2" t="s">
        <v>15</v>
      </c>
      <c r="D274" s="2" t="s">
        <v>31</v>
      </c>
      <c r="E274" s="2" t="s">
        <v>22</v>
      </c>
      <c r="F274" s="2">
        <v>645039.97</v>
      </c>
      <c r="G274" s="2">
        <v>50532.17</v>
      </c>
      <c r="H274" s="2">
        <v>5689</v>
      </c>
      <c r="I274" s="2">
        <v>5.1999999999999998E-2</v>
      </c>
      <c r="J274" s="2">
        <v>17</v>
      </c>
      <c r="K274" s="2">
        <v>85.6</v>
      </c>
      <c r="L274" s="2">
        <v>6.23</v>
      </c>
      <c r="M274" s="2">
        <v>0</v>
      </c>
      <c r="N274" s="2">
        <v>3.3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1</v>
      </c>
      <c r="U274" s="2">
        <f>'Multiple Regression Outputs'!$B$14+G274*'Multiple Regression Outputs'!$B$15+H274*'Multiple Regression Outputs'!$B$16+I274*'Multiple Regression Outputs'!$B$17+J274*'Multiple Regression Outputs'!$B$18+K274*'Multiple Regression Outputs'!$B$19+L274*'Multiple Regression Outputs'!$B$20+M274*'Multiple Regression Outputs'!$B$21+N274*'Multiple Regression Outputs'!$B$22+O274*'Multiple Regression Outputs'!$B$23+P274*'Multiple Regression Outputs'!$B$24+Q274*'Multiple Regression Outputs'!$B$25+R274*'Multiple Regression Outputs'!$B$26+S274*'Multiple Regression Outputs'!$B$27+T274*'Multiple Regression Outputs'!$B$28</f>
        <v>643275.80505830189</v>
      </c>
      <c r="V274" s="2">
        <f t="shared" si="4"/>
        <v>1764.1649416980799</v>
      </c>
    </row>
    <row r="275" spans="1:22" ht="15" customHeight="1">
      <c r="A275" s="2">
        <v>274</v>
      </c>
      <c r="B275" s="2" t="s">
        <v>94</v>
      </c>
      <c r="C275" s="2" t="s">
        <v>18</v>
      </c>
      <c r="D275" s="2" t="s">
        <v>31</v>
      </c>
      <c r="E275" s="2" t="s">
        <v>22</v>
      </c>
      <c r="F275" s="2">
        <v>561597.32999999996</v>
      </c>
      <c r="G275" s="2">
        <v>17562.57</v>
      </c>
      <c r="H275" s="2">
        <v>3326</v>
      </c>
      <c r="I275" s="2">
        <v>0.153</v>
      </c>
      <c r="J275" s="2">
        <v>14</v>
      </c>
      <c r="K275" s="2">
        <v>88.1</v>
      </c>
      <c r="L275" s="2">
        <v>1.04</v>
      </c>
      <c r="M275" s="2">
        <v>0</v>
      </c>
      <c r="N275" s="2">
        <v>3.1</v>
      </c>
      <c r="O275" s="2">
        <v>1</v>
      </c>
      <c r="P275" s="2">
        <v>0</v>
      </c>
      <c r="Q275" s="2">
        <v>0</v>
      </c>
      <c r="R275" s="2">
        <v>0</v>
      </c>
      <c r="S275" s="2">
        <v>0</v>
      </c>
      <c r="T275" s="2">
        <v>1</v>
      </c>
      <c r="U275" s="2">
        <f>'Multiple Regression Outputs'!$B$14+G275*'Multiple Regression Outputs'!$B$15+H275*'Multiple Regression Outputs'!$B$16+I275*'Multiple Regression Outputs'!$B$17+J275*'Multiple Regression Outputs'!$B$18+K275*'Multiple Regression Outputs'!$B$19+L275*'Multiple Regression Outputs'!$B$20+M275*'Multiple Regression Outputs'!$B$21+N275*'Multiple Regression Outputs'!$B$22+O275*'Multiple Regression Outputs'!$B$23+P275*'Multiple Regression Outputs'!$B$24+Q275*'Multiple Regression Outputs'!$B$25+R275*'Multiple Regression Outputs'!$B$26+S275*'Multiple Regression Outputs'!$B$27+T275*'Multiple Regression Outputs'!$B$28</f>
        <v>547096.17628220771</v>
      </c>
      <c r="V275" s="2">
        <f t="shared" si="4"/>
        <v>14501.153717792244</v>
      </c>
    </row>
    <row r="276" spans="1:22" ht="15" customHeight="1">
      <c r="A276" s="2">
        <v>275</v>
      </c>
      <c r="B276" s="2" t="s">
        <v>94</v>
      </c>
      <c r="C276" s="2" t="s">
        <v>19</v>
      </c>
      <c r="D276" s="2" t="s">
        <v>31</v>
      </c>
      <c r="E276" s="2" t="s">
        <v>22</v>
      </c>
      <c r="F276" s="2">
        <v>635837.74</v>
      </c>
      <c r="G276" s="2">
        <v>47648.71</v>
      </c>
      <c r="H276" s="2">
        <v>5767</v>
      </c>
      <c r="I276" s="2">
        <v>0.14099999999999999</v>
      </c>
      <c r="J276" s="2">
        <v>17</v>
      </c>
      <c r="K276" s="2">
        <v>89.8</v>
      </c>
      <c r="L276" s="2">
        <v>1.76</v>
      </c>
      <c r="M276" s="2">
        <v>0</v>
      </c>
      <c r="N276" s="2">
        <v>3.1</v>
      </c>
      <c r="O276" s="2">
        <v>1</v>
      </c>
      <c r="P276" s="2">
        <v>0</v>
      </c>
      <c r="Q276" s="2">
        <v>0</v>
      </c>
      <c r="R276" s="2">
        <v>0</v>
      </c>
      <c r="S276" s="2">
        <v>0</v>
      </c>
      <c r="T276" s="2">
        <v>1</v>
      </c>
      <c r="U276" s="2">
        <f>'Multiple Regression Outputs'!$B$14+G276*'Multiple Regression Outputs'!$B$15+H276*'Multiple Regression Outputs'!$B$16+I276*'Multiple Regression Outputs'!$B$17+J276*'Multiple Regression Outputs'!$B$18+K276*'Multiple Regression Outputs'!$B$19+L276*'Multiple Regression Outputs'!$B$20+M276*'Multiple Regression Outputs'!$B$21+N276*'Multiple Regression Outputs'!$B$22+O276*'Multiple Regression Outputs'!$B$23+P276*'Multiple Regression Outputs'!$B$24+Q276*'Multiple Regression Outputs'!$B$25+R276*'Multiple Regression Outputs'!$B$26+S276*'Multiple Regression Outputs'!$B$27+T276*'Multiple Regression Outputs'!$B$28</f>
        <v>663976.34089534683</v>
      </c>
      <c r="V276" s="2">
        <f t="shared" si="4"/>
        <v>-28138.600895346841</v>
      </c>
    </row>
    <row r="277" spans="1:22" ht="15" customHeight="1">
      <c r="A277" s="2">
        <v>276</v>
      </c>
      <c r="B277" s="2" t="s">
        <v>94</v>
      </c>
      <c r="C277" s="2" t="s">
        <v>20</v>
      </c>
      <c r="D277" s="2" t="s">
        <v>31</v>
      </c>
      <c r="E277" s="2" t="s">
        <v>22</v>
      </c>
      <c r="F277" s="2">
        <v>686737.87</v>
      </c>
      <c r="G277" s="2">
        <v>38297.58</v>
      </c>
      <c r="H277" s="2">
        <v>5893</v>
      </c>
      <c r="I277" s="2">
        <v>0.247</v>
      </c>
      <c r="J277" s="2">
        <v>18</v>
      </c>
      <c r="K277" s="2">
        <v>77.599999999999994</v>
      </c>
      <c r="L277" s="2">
        <v>2.86</v>
      </c>
      <c r="M277" s="2">
        <v>0</v>
      </c>
      <c r="N277" s="2">
        <v>3</v>
      </c>
      <c r="O277" s="2">
        <v>1</v>
      </c>
      <c r="P277" s="2">
        <v>0</v>
      </c>
      <c r="Q277" s="2">
        <v>0</v>
      </c>
      <c r="R277" s="2">
        <v>0</v>
      </c>
      <c r="S277" s="2">
        <v>0</v>
      </c>
      <c r="T277" s="2">
        <v>1</v>
      </c>
      <c r="U277" s="2">
        <f>'Multiple Regression Outputs'!$B$14+G277*'Multiple Regression Outputs'!$B$15+H277*'Multiple Regression Outputs'!$B$16+I277*'Multiple Regression Outputs'!$B$17+J277*'Multiple Regression Outputs'!$B$18+K277*'Multiple Regression Outputs'!$B$19+L277*'Multiple Regression Outputs'!$B$20+M277*'Multiple Regression Outputs'!$B$21+N277*'Multiple Regression Outputs'!$B$22+O277*'Multiple Regression Outputs'!$B$23+P277*'Multiple Regression Outputs'!$B$24+Q277*'Multiple Regression Outputs'!$B$25+R277*'Multiple Regression Outputs'!$B$26+S277*'Multiple Regression Outputs'!$B$27+T277*'Multiple Regression Outputs'!$B$28</f>
        <v>612851.2978938421</v>
      </c>
      <c r="V277" s="2">
        <f t="shared" si="4"/>
        <v>73886.572106157895</v>
      </c>
    </row>
    <row r="278" spans="1:22" ht="15" customHeight="1">
      <c r="A278" s="2">
        <v>277</v>
      </c>
      <c r="B278" s="2" t="s">
        <v>95</v>
      </c>
      <c r="C278" s="2" t="s">
        <v>15</v>
      </c>
      <c r="D278" s="2" t="s">
        <v>28</v>
      </c>
      <c r="E278" s="2" t="s">
        <v>17</v>
      </c>
      <c r="F278" s="2">
        <v>673076.34</v>
      </c>
      <c r="G278" s="2">
        <v>61784.11</v>
      </c>
      <c r="H278" s="2">
        <v>8564</v>
      </c>
      <c r="I278" s="2">
        <v>0.13</v>
      </c>
      <c r="J278" s="2">
        <v>17</v>
      </c>
      <c r="K278" s="2">
        <v>87.4</v>
      </c>
      <c r="L278" s="2">
        <v>18.14</v>
      </c>
      <c r="M278" s="2">
        <v>1</v>
      </c>
      <c r="N278" s="2">
        <v>3.4</v>
      </c>
      <c r="O278" s="2">
        <v>0</v>
      </c>
      <c r="P278" s="2">
        <v>0</v>
      </c>
      <c r="Q278" s="2">
        <v>1</v>
      </c>
      <c r="R278" s="2">
        <v>0</v>
      </c>
      <c r="S278" s="2">
        <v>1</v>
      </c>
      <c r="T278" s="2">
        <v>0</v>
      </c>
      <c r="U278" s="2">
        <f>'Multiple Regression Outputs'!$B$14+G278*'Multiple Regression Outputs'!$B$15+H278*'Multiple Regression Outputs'!$B$16+I278*'Multiple Regression Outputs'!$B$17+J278*'Multiple Regression Outputs'!$B$18+K278*'Multiple Regression Outputs'!$B$19+L278*'Multiple Regression Outputs'!$B$20+M278*'Multiple Regression Outputs'!$B$21+N278*'Multiple Regression Outputs'!$B$22+O278*'Multiple Regression Outputs'!$B$23+P278*'Multiple Regression Outputs'!$B$24+Q278*'Multiple Regression Outputs'!$B$25+R278*'Multiple Regression Outputs'!$B$26+S278*'Multiple Regression Outputs'!$B$27+T278*'Multiple Regression Outputs'!$B$28</f>
        <v>688815.67676423711</v>
      </c>
      <c r="V278" s="2">
        <f t="shared" si="4"/>
        <v>-15739.336764237145</v>
      </c>
    </row>
    <row r="279" spans="1:22" ht="15" customHeight="1">
      <c r="A279" s="2">
        <v>278</v>
      </c>
      <c r="B279" s="2" t="s">
        <v>95</v>
      </c>
      <c r="C279" s="2" t="s">
        <v>18</v>
      </c>
      <c r="D279" s="2" t="s">
        <v>28</v>
      </c>
      <c r="E279" s="2" t="s">
        <v>17</v>
      </c>
      <c r="F279" s="2">
        <v>738548.42</v>
      </c>
      <c r="G279" s="2">
        <v>36832.33</v>
      </c>
      <c r="H279" s="2">
        <v>8001</v>
      </c>
      <c r="I279" s="2">
        <v>0</v>
      </c>
      <c r="J279" s="2">
        <v>19</v>
      </c>
      <c r="K279" s="2">
        <v>88.7</v>
      </c>
      <c r="L279" s="2">
        <v>3.39</v>
      </c>
      <c r="M279" s="2">
        <v>0</v>
      </c>
      <c r="N279" s="2">
        <v>4</v>
      </c>
      <c r="O279" s="2">
        <v>0</v>
      </c>
      <c r="P279" s="2">
        <v>0</v>
      </c>
      <c r="Q279" s="2">
        <v>1</v>
      </c>
      <c r="R279" s="2">
        <v>0</v>
      </c>
      <c r="S279" s="2">
        <v>1</v>
      </c>
      <c r="T279" s="2">
        <v>0</v>
      </c>
      <c r="U279" s="2">
        <f>'Multiple Regression Outputs'!$B$14+G279*'Multiple Regression Outputs'!$B$15+H279*'Multiple Regression Outputs'!$B$16+I279*'Multiple Regression Outputs'!$B$17+J279*'Multiple Regression Outputs'!$B$18+K279*'Multiple Regression Outputs'!$B$19+L279*'Multiple Regression Outputs'!$B$20+M279*'Multiple Regression Outputs'!$B$21+N279*'Multiple Regression Outputs'!$B$22+O279*'Multiple Regression Outputs'!$B$23+P279*'Multiple Regression Outputs'!$B$24+Q279*'Multiple Regression Outputs'!$B$25+R279*'Multiple Regression Outputs'!$B$26+S279*'Multiple Regression Outputs'!$B$27+T279*'Multiple Regression Outputs'!$B$28</f>
        <v>702655.2917589196</v>
      </c>
      <c r="V279" s="2">
        <f t="shared" si="4"/>
        <v>35893.128241080442</v>
      </c>
    </row>
    <row r="280" spans="1:22" ht="15" customHeight="1">
      <c r="A280" s="2">
        <v>279</v>
      </c>
      <c r="B280" s="2" t="s">
        <v>95</v>
      </c>
      <c r="C280" s="2" t="s">
        <v>19</v>
      </c>
      <c r="D280" s="2" t="s">
        <v>28</v>
      </c>
      <c r="E280" s="2" t="s">
        <v>17</v>
      </c>
      <c r="F280" s="2">
        <v>756619.77</v>
      </c>
      <c r="G280" s="2">
        <v>48609.41</v>
      </c>
      <c r="H280" s="2">
        <v>9324</v>
      </c>
      <c r="I280" s="2">
        <v>0.21299999999999999</v>
      </c>
      <c r="J280" s="2">
        <v>18</v>
      </c>
      <c r="K280" s="2">
        <v>86.5</v>
      </c>
      <c r="L280" s="2">
        <v>1.44</v>
      </c>
      <c r="M280" s="2">
        <v>0</v>
      </c>
      <c r="N280" s="2">
        <v>3.9</v>
      </c>
      <c r="O280" s="2">
        <v>0</v>
      </c>
      <c r="P280" s="2">
        <v>0</v>
      </c>
      <c r="Q280" s="2">
        <v>1</v>
      </c>
      <c r="R280" s="2">
        <v>0</v>
      </c>
      <c r="S280" s="2">
        <v>1</v>
      </c>
      <c r="T280" s="2">
        <v>0</v>
      </c>
      <c r="U280" s="2">
        <f>'Multiple Regression Outputs'!$B$14+G280*'Multiple Regression Outputs'!$B$15+H280*'Multiple Regression Outputs'!$B$16+I280*'Multiple Regression Outputs'!$B$17+J280*'Multiple Regression Outputs'!$B$18+K280*'Multiple Regression Outputs'!$B$19+L280*'Multiple Regression Outputs'!$B$20+M280*'Multiple Regression Outputs'!$B$21+N280*'Multiple Regression Outputs'!$B$22+O280*'Multiple Regression Outputs'!$B$23+P280*'Multiple Regression Outputs'!$B$24+Q280*'Multiple Regression Outputs'!$B$25+R280*'Multiple Regression Outputs'!$B$26+S280*'Multiple Regression Outputs'!$B$27+T280*'Multiple Regression Outputs'!$B$28</f>
        <v>739493.81394666259</v>
      </c>
      <c r="V280" s="2">
        <f t="shared" si="4"/>
        <v>17125.956053337432</v>
      </c>
    </row>
    <row r="281" spans="1:22" ht="15" customHeight="1">
      <c r="A281" s="2">
        <v>280</v>
      </c>
      <c r="B281" s="2" t="s">
        <v>95</v>
      </c>
      <c r="C281" s="2" t="s">
        <v>20</v>
      </c>
      <c r="D281" s="2" t="s">
        <v>28</v>
      </c>
      <c r="E281" s="2" t="s">
        <v>17</v>
      </c>
      <c r="F281" s="2">
        <v>761122.42</v>
      </c>
      <c r="G281" s="2">
        <v>70284.06</v>
      </c>
      <c r="H281" s="2">
        <v>9109</v>
      </c>
      <c r="I281" s="2">
        <v>4.0000000000000001E-3</v>
      </c>
      <c r="J281" s="2">
        <v>23</v>
      </c>
      <c r="K281" s="2">
        <v>87</v>
      </c>
      <c r="L281" s="2">
        <v>3.65</v>
      </c>
      <c r="M281" s="2">
        <v>0</v>
      </c>
      <c r="N281" s="2">
        <v>3.7</v>
      </c>
      <c r="O281" s="2">
        <v>0</v>
      </c>
      <c r="P281" s="2">
        <v>0</v>
      </c>
      <c r="Q281" s="2">
        <v>1</v>
      </c>
      <c r="R281" s="2">
        <v>0</v>
      </c>
      <c r="S281" s="2">
        <v>1</v>
      </c>
      <c r="T281" s="2">
        <v>0</v>
      </c>
      <c r="U281" s="2">
        <f>'Multiple Regression Outputs'!$B$14+G281*'Multiple Regression Outputs'!$B$15+H281*'Multiple Regression Outputs'!$B$16+I281*'Multiple Regression Outputs'!$B$17+J281*'Multiple Regression Outputs'!$B$18+K281*'Multiple Regression Outputs'!$B$19+L281*'Multiple Regression Outputs'!$B$20+M281*'Multiple Regression Outputs'!$B$21+N281*'Multiple Regression Outputs'!$B$22+O281*'Multiple Regression Outputs'!$B$23+P281*'Multiple Regression Outputs'!$B$24+Q281*'Multiple Regression Outputs'!$B$25+R281*'Multiple Regression Outputs'!$B$26+S281*'Multiple Regression Outputs'!$B$27+T281*'Multiple Regression Outputs'!$B$28</f>
        <v>777434.11697482725</v>
      </c>
      <c r="V281" s="2">
        <f t="shared" si="4"/>
        <v>-16311.696974827209</v>
      </c>
    </row>
    <row r="282" spans="1:22" ht="15" customHeight="1">
      <c r="A282" s="2">
        <v>281</v>
      </c>
      <c r="B282" s="2" t="s">
        <v>96</v>
      </c>
      <c r="C282" s="2" t="s">
        <v>15</v>
      </c>
      <c r="D282" s="2" t="s">
        <v>28</v>
      </c>
      <c r="E282" s="2" t="s">
        <v>22</v>
      </c>
      <c r="F282" s="2">
        <v>524899.56999999995</v>
      </c>
      <c r="G282" s="2">
        <v>45940.39</v>
      </c>
      <c r="H282" s="2">
        <v>4022</v>
      </c>
      <c r="I282" s="2">
        <v>6.9000000000000006E-2</v>
      </c>
      <c r="J282" s="2">
        <v>10</v>
      </c>
      <c r="K282" s="2">
        <v>83</v>
      </c>
      <c r="L282" s="2">
        <v>1.23</v>
      </c>
      <c r="M282" s="2">
        <v>1</v>
      </c>
      <c r="N282" s="2">
        <v>3.8</v>
      </c>
      <c r="O282" s="2">
        <v>1</v>
      </c>
      <c r="P282" s="2">
        <v>0</v>
      </c>
      <c r="Q282" s="2">
        <v>0</v>
      </c>
      <c r="R282" s="2">
        <v>0</v>
      </c>
      <c r="S282" s="2">
        <v>1</v>
      </c>
      <c r="T282" s="2">
        <v>0</v>
      </c>
      <c r="U282" s="2">
        <f>'Multiple Regression Outputs'!$B$14+G282*'Multiple Regression Outputs'!$B$15+H282*'Multiple Regression Outputs'!$B$16+I282*'Multiple Regression Outputs'!$B$17+J282*'Multiple Regression Outputs'!$B$18+K282*'Multiple Regression Outputs'!$B$19+L282*'Multiple Regression Outputs'!$B$20+M282*'Multiple Regression Outputs'!$B$21+N282*'Multiple Regression Outputs'!$B$22+O282*'Multiple Regression Outputs'!$B$23+P282*'Multiple Regression Outputs'!$B$24+Q282*'Multiple Regression Outputs'!$B$25+R282*'Multiple Regression Outputs'!$B$26+S282*'Multiple Regression Outputs'!$B$27+T282*'Multiple Regression Outputs'!$B$28</f>
        <v>593329.67270231631</v>
      </c>
      <c r="V282" s="2">
        <f t="shared" si="4"/>
        <v>-68430.102702316362</v>
      </c>
    </row>
    <row r="283" spans="1:22" ht="15" customHeight="1">
      <c r="A283" s="2">
        <v>282</v>
      </c>
      <c r="B283" s="2" t="s">
        <v>96</v>
      </c>
      <c r="C283" s="2" t="s">
        <v>18</v>
      </c>
      <c r="D283" s="2" t="s">
        <v>28</v>
      </c>
      <c r="E283" s="2" t="s">
        <v>22</v>
      </c>
      <c r="F283" s="2">
        <v>555557.77</v>
      </c>
      <c r="G283" s="2">
        <v>34771.26</v>
      </c>
      <c r="H283" s="2">
        <v>4355</v>
      </c>
      <c r="I283" s="2">
        <v>5.0999999999999997E-2</v>
      </c>
      <c r="J283" s="2">
        <v>15</v>
      </c>
      <c r="K283" s="2">
        <v>87.9</v>
      </c>
      <c r="L283" s="2">
        <v>3.09</v>
      </c>
      <c r="M283" s="2">
        <v>0</v>
      </c>
      <c r="N283" s="2">
        <v>4</v>
      </c>
      <c r="O283" s="2">
        <v>1</v>
      </c>
      <c r="P283" s="2">
        <v>0</v>
      </c>
      <c r="Q283" s="2">
        <v>0</v>
      </c>
      <c r="R283" s="2">
        <v>0</v>
      </c>
      <c r="S283" s="2">
        <v>1</v>
      </c>
      <c r="T283" s="2">
        <v>0</v>
      </c>
      <c r="U283" s="2">
        <f>'Multiple Regression Outputs'!$B$14+G283*'Multiple Regression Outputs'!$B$15+H283*'Multiple Regression Outputs'!$B$16+I283*'Multiple Regression Outputs'!$B$17+J283*'Multiple Regression Outputs'!$B$18+K283*'Multiple Regression Outputs'!$B$19+L283*'Multiple Regression Outputs'!$B$20+M283*'Multiple Regression Outputs'!$B$21+N283*'Multiple Regression Outputs'!$B$22+O283*'Multiple Regression Outputs'!$B$23+P283*'Multiple Regression Outputs'!$B$24+Q283*'Multiple Regression Outputs'!$B$25+R283*'Multiple Regression Outputs'!$B$26+S283*'Multiple Regression Outputs'!$B$27+T283*'Multiple Regression Outputs'!$B$28</f>
        <v>603157.70411815506</v>
      </c>
      <c r="V283" s="2">
        <f t="shared" si="4"/>
        <v>-47599.934118155041</v>
      </c>
    </row>
    <row r="284" spans="1:22" ht="15" customHeight="1">
      <c r="A284" s="2">
        <v>283</v>
      </c>
      <c r="B284" s="2" t="s">
        <v>96</v>
      </c>
      <c r="C284" s="2" t="s">
        <v>19</v>
      </c>
      <c r="D284" s="2" t="s">
        <v>28</v>
      </c>
      <c r="E284" s="2" t="s">
        <v>22</v>
      </c>
      <c r="F284" s="2">
        <v>714083.68</v>
      </c>
      <c r="G284" s="2">
        <v>66104.19</v>
      </c>
      <c r="H284" s="2">
        <v>5745</v>
      </c>
      <c r="I284" s="2">
        <v>7.0000000000000007E-2</v>
      </c>
      <c r="J284" s="2">
        <v>17</v>
      </c>
      <c r="K284" s="2">
        <v>95.8</v>
      </c>
      <c r="L284" s="2">
        <v>3.15</v>
      </c>
      <c r="M284" s="2">
        <v>0</v>
      </c>
      <c r="N284" s="2">
        <v>4</v>
      </c>
      <c r="O284" s="2">
        <v>1</v>
      </c>
      <c r="P284" s="2">
        <v>0</v>
      </c>
      <c r="Q284" s="2">
        <v>0</v>
      </c>
      <c r="R284" s="2">
        <v>0</v>
      </c>
      <c r="S284" s="2">
        <v>1</v>
      </c>
      <c r="T284" s="2">
        <v>0</v>
      </c>
      <c r="U284" s="2">
        <f>'Multiple Regression Outputs'!$B$14+G284*'Multiple Regression Outputs'!$B$15+H284*'Multiple Regression Outputs'!$B$16+I284*'Multiple Regression Outputs'!$B$17+J284*'Multiple Regression Outputs'!$B$18+K284*'Multiple Regression Outputs'!$B$19+L284*'Multiple Regression Outputs'!$B$20+M284*'Multiple Regression Outputs'!$B$21+N284*'Multiple Regression Outputs'!$B$22+O284*'Multiple Regression Outputs'!$B$23+P284*'Multiple Regression Outputs'!$B$24+Q284*'Multiple Regression Outputs'!$B$25+R284*'Multiple Regression Outputs'!$B$26+S284*'Multiple Regression Outputs'!$B$27+T284*'Multiple Regression Outputs'!$B$28</f>
        <v>709283.97293849988</v>
      </c>
      <c r="V284" s="2">
        <f t="shared" si="4"/>
        <v>4799.7070615001721</v>
      </c>
    </row>
    <row r="285" spans="1:22" ht="15" customHeight="1">
      <c r="A285" s="2">
        <v>284</v>
      </c>
      <c r="B285" s="2" t="s">
        <v>96</v>
      </c>
      <c r="C285" s="2" t="s">
        <v>20</v>
      </c>
      <c r="D285" s="2" t="s">
        <v>28</v>
      </c>
      <c r="E285" s="2" t="s">
        <v>22</v>
      </c>
      <c r="F285" s="2">
        <v>497439.82</v>
      </c>
      <c r="G285" s="2">
        <v>18599.21</v>
      </c>
      <c r="H285" s="2">
        <v>3027</v>
      </c>
      <c r="I285" s="2">
        <v>0.122</v>
      </c>
      <c r="J285" s="2">
        <v>11</v>
      </c>
      <c r="K285" s="2">
        <v>80.900000000000006</v>
      </c>
      <c r="L285" s="2">
        <v>6.44</v>
      </c>
      <c r="M285" s="2">
        <v>0</v>
      </c>
      <c r="N285" s="2">
        <v>4.2</v>
      </c>
      <c r="O285" s="2">
        <v>1</v>
      </c>
      <c r="P285" s="2">
        <v>0</v>
      </c>
      <c r="Q285" s="2">
        <v>0</v>
      </c>
      <c r="R285" s="2">
        <v>0</v>
      </c>
      <c r="S285" s="2">
        <v>1</v>
      </c>
      <c r="T285" s="2">
        <v>0</v>
      </c>
      <c r="U285" s="2">
        <f>'Multiple Regression Outputs'!$B$14+G285*'Multiple Regression Outputs'!$B$15+H285*'Multiple Regression Outputs'!$B$16+I285*'Multiple Regression Outputs'!$B$17+J285*'Multiple Regression Outputs'!$B$18+K285*'Multiple Regression Outputs'!$B$19+L285*'Multiple Regression Outputs'!$B$20+M285*'Multiple Regression Outputs'!$B$21+N285*'Multiple Regression Outputs'!$B$22+O285*'Multiple Regression Outputs'!$B$23+P285*'Multiple Regression Outputs'!$B$24+Q285*'Multiple Regression Outputs'!$B$25+R285*'Multiple Regression Outputs'!$B$26+S285*'Multiple Regression Outputs'!$B$27+T285*'Multiple Regression Outputs'!$B$28</f>
        <v>499875.11187494459</v>
      </c>
      <c r="V285" s="2">
        <f t="shared" si="4"/>
        <v>-2435.2918749445817</v>
      </c>
    </row>
    <row r="286" spans="1:22" ht="15" customHeight="1">
      <c r="A286" s="2">
        <v>285</v>
      </c>
      <c r="B286" s="2" t="s">
        <v>97</v>
      </c>
      <c r="C286" s="2" t="s">
        <v>15</v>
      </c>
      <c r="D286" s="2" t="s">
        <v>31</v>
      </c>
      <c r="E286" s="2" t="s">
        <v>17</v>
      </c>
      <c r="F286" s="2">
        <v>636775.66</v>
      </c>
      <c r="G286" s="2">
        <v>60183.06</v>
      </c>
      <c r="H286" s="2">
        <v>5562</v>
      </c>
      <c r="I286" s="2">
        <v>8.9999999999999993E-3</v>
      </c>
      <c r="J286" s="2">
        <v>13</v>
      </c>
      <c r="K286" s="2">
        <v>86.3</v>
      </c>
      <c r="L286" s="2">
        <v>0.2</v>
      </c>
      <c r="M286" s="2">
        <v>1</v>
      </c>
      <c r="N286" s="2">
        <v>4.5</v>
      </c>
      <c r="O286" s="2">
        <v>0</v>
      </c>
      <c r="P286" s="2">
        <v>0</v>
      </c>
      <c r="Q286" s="2">
        <v>1</v>
      </c>
      <c r="R286" s="2">
        <v>0</v>
      </c>
      <c r="S286" s="2">
        <v>0</v>
      </c>
      <c r="T286" s="2">
        <v>1</v>
      </c>
      <c r="U286" s="2">
        <f>'Multiple Regression Outputs'!$B$14+G286*'Multiple Regression Outputs'!$B$15+H286*'Multiple Regression Outputs'!$B$16+I286*'Multiple Regression Outputs'!$B$17+J286*'Multiple Regression Outputs'!$B$18+K286*'Multiple Regression Outputs'!$B$19+L286*'Multiple Regression Outputs'!$B$20+M286*'Multiple Regression Outputs'!$B$21+N286*'Multiple Regression Outputs'!$B$22+O286*'Multiple Regression Outputs'!$B$23+P286*'Multiple Regression Outputs'!$B$24+Q286*'Multiple Regression Outputs'!$B$25+R286*'Multiple Regression Outputs'!$B$26+S286*'Multiple Regression Outputs'!$B$27+T286*'Multiple Regression Outputs'!$B$28</f>
        <v>672045.57352236239</v>
      </c>
      <c r="V286" s="2">
        <f t="shared" si="4"/>
        <v>-35269.91352236236</v>
      </c>
    </row>
    <row r="287" spans="1:22" ht="15" customHeight="1">
      <c r="A287" s="2">
        <v>286</v>
      </c>
      <c r="B287" s="2" t="s">
        <v>97</v>
      </c>
      <c r="C287" s="2" t="s">
        <v>18</v>
      </c>
      <c r="D287" s="2" t="s">
        <v>31</v>
      </c>
      <c r="E287" s="2" t="s">
        <v>17</v>
      </c>
      <c r="F287" s="2">
        <v>633009.53</v>
      </c>
      <c r="G287" s="2">
        <v>74539.14</v>
      </c>
      <c r="H287" s="2">
        <v>4487</v>
      </c>
      <c r="I287" s="2">
        <v>0.14000000000000001</v>
      </c>
      <c r="J287" s="2">
        <v>10</v>
      </c>
      <c r="K287" s="2">
        <v>90.4</v>
      </c>
      <c r="L287" s="2">
        <v>0.59</v>
      </c>
      <c r="M287" s="2">
        <v>0</v>
      </c>
      <c r="N287" s="2">
        <v>4.5</v>
      </c>
      <c r="O287" s="2">
        <v>0</v>
      </c>
      <c r="P287" s="2">
        <v>0</v>
      </c>
      <c r="Q287" s="2">
        <v>1</v>
      </c>
      <c r="R287" s="2">
        <v>0</v>
      </c>
      <c r="S287" s="2">
        <v>0</v>
      </c>
      <c r="T287" s="2">
        <v>1</v>
      </c>
      <c r="U287" s="2">
        <f>'Multiple Regression Outputs'!$B$14+G287*'Multiple Regression Outputs'!$B$15+H287*'Multiple Regression Outputs'!$B$16+I287*'Multiple Regression Outputs'!$B$17+J287*'Multiple Regression Outputs'!$B$18+K287*'Multiple Regression Outputs'!$B$19+L287*'Multiple Regression Outputs'!$B$20+M287*'Multiple Regression Outputs'!$B$21+N287*'Multiple Regression Outputs'!$B$22+O287*'Multiple Regression Outputs'!$B$23+P287*'Multiple Regression Outputs'!$B$24+Q287*'Multiple Regression Outputs'!$B$25+R287*'Multiple Regression Outputs'!$B$26+S287*'Multiple Regression Outputs'!$B$27+T287*'Multiple Regression Outputs'!$B$28</f>
        <v>640157.85713784921</v>
      </c>
      <c r="V287" s="2">
        <f t="shared" si="4"/>
        <v>-7148.3271378491772</v>
      </c>
    </row>
    <row r="288" spans="1:22" ht="15" customHeight="1">
      <c r="A288" s="2">
        <v>287</v>
      </c>
      <c r="B288" s="2" t="s">
        <v>97</v>
      </c>
      <c r="C288" s="2" t="s">
        <v>19</v>
      </c>
      <c r="D288" s="2" t="s">
        <v>31</v>
      </c>
      <c r="E288" s="2" t="s">
        <v>17</v>
      </c>
      <c r="F288" s="2">
        <v>609949</v>
      </c>
      <c r="G288" s="2">
        <v>55371.97</v>
      </c>
      <c r="H288" s="2">
        <v>4162</v>
      </c>
      <c r="I288" s="2">
        <v>0.183</v>
      </c>
      <c r="J288" s="2">
        <v>11</v>
      </c>
      <c r="K288" s="2">
        <v>92</v>
      </c>
      <c r="L288" s="2">
        <v>0.2</v>
      </c>
      <c r="M288" s="2">
        <v>1</v>
      </c>
      <c r="N288" s="2">
        <v>4.2</v>
      </c>
      <c r="O288" s="2">
        <v>0</v>
      </c>
      <c r="P288" s="2">
        <v>0</v>
      </c>
      <c r="Q288" s="2">
        <v>1</v>
      </c>
      <c r="R288" s="2">
        <v>0</v>
      </c>
      <c r="S288" s="2">
        <v>0</v>
      </c>
      <c r="T288" s="2">
        <v>1</v>
      </c>
      <c r="U288" s="2">
        <f>'Multiple Regression Outputs'!$B$14+G288*'Multiple Regression Outputs'!$B$15+H288*'Multiple Regression Outputs'!$B$16+I288*'Multiple Regression Outputs'!$B$17+J288*'Multiple Regression Outputs'!$B$18+K288*'Multiple Regression Outputs'!$B$19+L288*'Multiple Regression Outputs'!$B$20+M288*'Multiple Regression Outputs'!$B$21+N288*'Multiple Regression Outputs'!$B$22+O288*'Multiple Regression Outputs'!$B$23+P288*'Multiple Regression Outputs'!$B$24+Q288*'Multiple Regression Outputs'!$B$25+R288*'Multiple Regression Outputs'!$B$26+S288*'Multiple Regression Outputs'!$B$27+T288*'Multiple Regression Outputs'!$B$28</f>
        <v>627462.47992347821</v>
      </c>
      <c r="V288" s="2">
        <f t="shared" si="4"/>
        <v>-17513.479923478211</v>
      </c>
    </row>
    <row r="289" spans="1:22" ht="15" customHeight="1">
      <c r="A289" s="2">
        <v>288</v>
      </c>
      <c r="B289" s="2" t="s">
        <v>97</v>
      </c>
      <c r="C289" s="2" t="s">
        <v>20</v>
      </c>
      <c r="D289" s="2" t="s">
        <v>31</v>
      </c>
      <c r="E289" s="2" t="s">
        <v>17</v>
      </c>
      <c r="F289" s="2">
        <v>548103.69999999995</v>
      </c>
      <c r="G289" s="2">
        <v>40928.69</v>
      </c>
      <c r="H289" s="2">
        <v>4094</v>
      </c>
      <c r="I289" s="2">
        <v>0.17399999999999999</v>
      </c>
      <c r="J289" s="2">
        <v>13</v>
      </c>
      <c r="K289" s="2">
        <v>82.4</v>
      </c>
      <c r="L289" s="2">
        <v>1.36</v>
      </c>
      <c r="M289" s="2">
        <v>0</v>
      </c>
      <c r="N289" s="2">
        <v>4.8</v>
      </c>
      <c r="O289" s="2">
        <v>0</v>
      </c>
      <c r="P289" s="2">
        <v>0</v>
      </c>
      <c r="Q289" s="2">
        <v>1</v>
      </c>
      <c r="R289" s="2">
        <v>0</v>
      </c>
      <c r="S289" s="2">
        <v>0</v>
      </c>
      <c r="T289" s="2">
        <v>1</v>
      </c>
      <c r="U289" s="2">
        <f>'Multiple Regression Outputs'!$B$14+G289*'Multiple Regression Outputs'!$B$15+H289*'Multiple Regression Outputs'!$B$16+I289*'Multiple Regression Outputs'!$B$17+J289*'Multiple Regression Outputs'!$B$18+K289*'Multiple Regression Outputs'!$B$19+L289*'Multiple Regression Outputs'!$B$20+M289*'Multiple Regression Outputs'!$B$21+N289*'Multiple Regression Outputs'!$B$22+O289*'Multiple Regression Outputs'!$B$23+P289*'Multiple Regression Outputs'!$B$24+Q289*'Multiple Regression Outputs'!$B$25+R289*'Multiple Regression Outputs'!$B$26+S289*'Multiple Regression Outputs'!$B$27+T289*'Multiple Regression Outputs'!$B$28</f>
        <v>574479.23493572976</v>
      </c>
      <c r="V289" s="2">
        <f t="shared" si="4"/>
        <v>-26375.534935729811</v>
      </c>
    </row>
    <row r="290" spans="1:22" ht="15" customHeight="1">
      <c r="A290" s="2">
        <v>289</v>
      </c>
      <c r="B290" s="2" t="s">
        <v>98</v>
      </c>
      <c r="C290" s="2" t="s">
        <v>15</v>
      </c>
      <c r="D290" s="2" t="s">
        <v>16</v>
      </c>
      <c r="E290" s="2" t="s">
        <v>17</v>
      </c>
      <c r="F290" s="2">
        <v>729424.42</v>
      </c>
      <c r="G290" s="2">
        <v>70012.41</v>
      </c>
      <c r="H290" s="2">
        <v>8484</v>
      </c>
      <c r="I290" s="2">
        <v>0.27300000000000002</v>
      </c>
      <c r="J290" s="2">
        <v>23</v>
      </c>
      <c r="K290" s="2">
        <v>72.900000000000006</v>
      </c>
      <c r="L290" s="2">
        <v>3.34</v>
      </c>
      <c r="M290" s="2">
        <v>0</v>
      </c>
      <c r="N290" s="2">
        <v>3.7</v>
      </c>
      <c r="O290" s="2">
        <v>0</v>
      </c>
      <c r="P290" s="2">
        <v>0</v>
      </c>
      <c r="Q290" s="2">
        <v>1</v>
      </c>
      <c r="R290" s="2">
        <v>0</v>
      </c>
      <c r="S290" s="2">
        <v>0</v>
      </c>
      <c r="T290" s="2">
        <v>0</v>
      </c>
      <c r="U290" s="2">
        <f>'Multiple Regression Outputs'!$B$14+G290*'Multiple Regression Outputs'!$B$15+H290*'Multiple Regression Outputs'!$B$16+I290*'Multiple Regression Outputs'!$B$17+J290*'Multiple Regression Outputs'!$B$18+K290*'Multiple Regression Outputs'!$B$19+L290*'Multiple Regression Outputs'!$B$20+M290*'Multiple Regression Outputs'!$B$21+N290*'Multiple Regression Outputs'!$B$22+O290*'Multiple Regression Outputs'!$B$23+P290*'Multiple Regression Outputs'!$B$24+Q290*'Multiple Regression Outputs'!$B$25+R290*'Multiple Regression Outputs'!$B$26+S290*'Multiple Regression Outputs'!$B$27+T290*'Multiple Regression Outputs'!$B$28</f>
        <v>685724.99383962434</v>
      </c>
      <c r="V290" s="2">
        <f t="shared" si="4"/>
        <v>43699.426160375704</v>
      </c>
    </row>
    <row r="291" spans="1:22" ht="15" customHeight="1">
      <c r="A291" s="2">
        <v>290</v>
      </c>
      <c r="B291" s="2" t="s">
        <v>98</v>
      </c>
      <c r="C291" s="2" t="s">
        <v>18</v>
      </c>
      <c r="D291" s="2" t="s">
        <v>16</v>
      </c>
      <c r="E291" s="2" t="s">
        <v>17</v>
      </c>
      <c r="F291" s="2">
        <v>696261.49</v>
      </c>
      <c r="G291" s="2">
        <v>68909.259999999995</v>
      </c>
      <c r="H291" s="2">
        <v>7794</v>
      </c>
      <c r="I291" s="2">
        <v>0.28399999999999997</v>
      </c>
      <c r="J291" s="2">
        <v>22</v>
      </c>
      <c r="K291" s="2">
        <v>89</v>
      </c>
      <c r="L291" s="2">
        <v>0.33</v>
      </c>
      <c r="M291" s="2">
        <v>0</v>
      </c>
      <c r="N291" s="2">
        <v>4</v>
      </c>
      <c r="O291" s="2">
        <v>0</v>
      </c>
      <c r="P291" s="2">
        <v>0</v>
      </c>
      <c r="Q291" s="2">
        <v>1</v>
      </c>
      <c r="R291" s="2">
        <v>0</v>
      </c>
      <c r="S291" s="2">
        <v>0</v>
      </c>
      <c r="T291" s="2">
        <v>0</v>
      </c>
      <c r="U291" s="2">
        <f>'Multiple Regression Outputs'!$B$14+G291*'Multiple Regression Outputs'!$B$15+H291*'Multiple Regression Outputs'!$B$16+I291*'Multiple Regression Outputs'!$B$17+J291*'Multiple Regression Outputs'!$B$18+K291*'Multiple Regression Outputs'!$B$19+L291*'Multiple Regression Outputs'!$B$20+M291*'Multiple Regression Outputs'!$B$21+N291*'Multiple Regression Outputs'!$B$22+O291*'Multiple Regression Outputs'!$B$23+P291*'Multiple Regression Outputs'!$B$24+Q291*'Multiple Regression Outputs'!$B$25+R291*'Multiple Regression Outputs'!$B$26+S291*'Multiple Regression Outputs'!$B$27+T291*'Multiple Regression Outputs'!$B$28</f>
        <v>724969.34179897769</v>
      </c>
      <c r="V291" s="2">
        <f t="shared" si="4"/>
        <v>-28707.851798977703</v>
      </c>
    </row>
    <row r="292" spans="1:22" ht="15" customHeight="1">
      <c r="A292" s="2">
        <v>291</v>
      </c>
      <c r="B292" s="2" t="s">
        <v>98</v>
      </c>
      <c r="C292" s="2" t="s">
        <v>19</v>
      </c>
      <c r="D292" s="2" t="s">
        <v>16</v>
      </c>
      <c r="E292" s="2" t="s">
        <v>17</v>
      </c>
      <c r="F292" s="2">
        <v>813316.71</v>
      </c>
      <c r="G292" s="2">
        <v>56737.3</v>
      </c>
      <c r="H292" s="2">
        <v>8300</v>
      </c>
      <c r="I292" s="2">
        <v>3.2000000000000001E-2</v>
      </c>
      <c r="J292" s="2">
        <v>21</v>
      </c>
      <c r="K292" s="2">
        <v>83.2</v>
      </c>
      <c r="L292" s="2">
        <v>3.44</v>
      </c>
      <c r="M292" s="2">
        <v>1</v>
      </c>
      <c r="N292" s="2">
        <v>4.3</v>
      </c>
      <c r="O292" s="2">
        <v>0</v>
      </c>
      <c r="P292" s="2">
        <v>0</v>
      </c>
      <c r="Q292" s="2">
        <v>1</v>
      </c>
      <c r="R292" s="2">
        <v>0</v>
      </c>
      <c r="S292" s="2">
        <v>0</v>
      </c>
      <c r="T292" s="2">
        <v>0</v>
      </c>
      <c r="U292" s="2">
        <f>'Multiple Regression Outputs'!$B$14+G292*'Multiple Regression Outputs'!$B$15+H292*'Multiple Regression Outputs'!$B$16+I292*'Multiple Regression Outputs'!$B$17+J292*'Multiple Regression Outputs'!$B$18+K292*'Multiple Regression Outputs'!$B$19+L292*'Multiple Regression Outputs'!$B$20+M292*'Multiple Regression Outputs'!$B$21+N292*'Multiple Regression Outputs'!$B$22+O292*'Multiple Regression Outputs'!$B$23+P292*'Multiple Regression Outputs'!$B$24+Q292*'Multiple Regression Outputs'!$B$25+R292*'Multiple Regression Outputs'!$B$26+S292*'Multiple Regression Outputs'!$B$27+T292*'Multiple Regression Outputs'!$B$28</f>
        <v>721415.9199268485</v>
      </c>
      <c r="V292" s="2">
        <f t="shared" si="4"/>
        <v>91900.790073151467</v>
      </c>
    </row>
    <row r="293" spans="1:22" ht="15" customHeight="1">
      <c r="A293" s="2">
        <v>292</v>
      </c>
      <c r="B293" s="2" t="s">
        <v>98</v>
      </c>
      <c r="C293" s="2" t="s">
        <v>20</v>
      </c>
      <c r="D293" s="2" t="s">
        <v>16</v>
      </c>
      <c r="E293" s="2" t="s">
        <v>17</v>
      </c>
      <c r="F293" s="2">
        <v>702068.92</v>
      </c>
      <c r="G293" s="2">
        <v>54080.91</v>
      </c>
      <c r="H293" s="2">
        <v>7083</v>
      </c>
      <c r="I293" s="2">
        <v>0</v>
      </c>
      <c r="J293" s="2">
        <v>15</v>
      </c>
      <c r="K293" s="2">
        <v>97</v>
      </c>
      <c r="L293" s="2">
        <v>5.33</v>
      </c>
      <c r="M293" s="2">
        <v>0</v>
      </c>
      <c r="N293" s="2">
        <v>4.0999999999999996</v>
      </c>
      <c r="O293" s="2">
        <v>0</v>
      </c>
      <c r="P293" s="2">
        <v>0</v>
      </c>
      <c r="Q293" s="2">
        <v>1</v>
      </c>
      <c r="R293" s="2">
        <v>0</v>
      </c>
      <c r="S293" s="2">
        <v>0</v>
      </c>
      <c r="T293" s="2">
        <v>0</v>
      </c>
      <c r="U293" s="2">
        <f>'Multiple Regression Outputs'!$B$14+G293*'Multiple Regression Outputs'!$B$15+H293*'Multiple Regression Outputs'!$B$16+I293*'Multiple Regression Outputs'!$B$17+J293*'Multiple Regression Outputs'!$B$18+K293*'Multiple Regression Outputs'!$B$19+L293*'Multiple Regression Outputs'!$B$20+M293*'Multiple Regression Outputs'!$B$21+N293*'Multiple Regression Outputs'!$B$22+O293*'Multiple Regression Outputs'!$B$23+P293*'Multiple Regression Outputs'!$B$24+Q293*'Multiple Regression Outputs'!$B$25+R293*'Multiple Regression Outputs'!$B$26+S293*'Multiple Regression Outputs'!$B$27+T293*'Multiple Regression Outputs'!$B$28</f>
        <v>683304.41311785928</v>
      </c>
      <c r="V293" s="2">
        <f t="shared" si="4"/>
        <v>18764.506882140762</v>
      </c>
    </row>
    <row r="294" spans="1:22" ht="15" customHeight="1">
      <c r="A294" s="2">
        <v>293</v>
      </c>
      <c r="B294" s="2" t="s">
        <v>99</v>
      </c>
      <c r="C294" s="2" t="s">
        <v>15</v>
      </c>
      <c r="D294" s="2" t="s">
        <v>31</v>
      </c>
      <c r="E294" s="2" t="s">
        <v>22</v>
      </c>
      <c r="F294" s="2">
        <v>546223.69999999995</v>
      </c>
      <c r="G294" s="2">
        <v>51996.32</v>
      </c>
      <c r="H294" s="2">
        <v>3834</v>
      </c>
      <c r="I294" s="2">
        <v>9.6000000000000002E-2</v>
      </c>
      <c r="J294" s="2">
        <v>8</v>
      </c>
      <c r="K294" s="2">
        <v>86.7</v>
      </c>
      <c r="L294" s="2">
        <v>6.04</v>
      </c>
      <c r="M294" s="2">
        <v>0</v>
      </c>
      <c r="N294" s="2">
        <v>4.5</v>
      </c>
      <c r="O294" s="2">
        <v>1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f>'Multiple Regression Outputs'!$B$14+G294*'Multiple Regression Outputs'!$B$15+H294*'Multiple Regression Outputs'!$B$16+I294*'Multiple Regression Outputs'!$B$17+J294*'Multiple Regression Outputs'!$B$18+K294*'Multiple Regression Outputs'!$B$19+L294*'Multiple Regression Outputs'!$B$20+M294*'Multiple Regression Outputs'!$B$21+N294*'Multiple Regression Outputs'!$B$22+O294*'Multiple Regression Outputs'!$B$23+P294*'Multiple Regression Outputs'!$B$24+Q294*'Multiple Regression Outputs'!$B$25+R294*'Multiple Regression Outputs'!$B$26+S294*'Multiple Regression Outputs'!$B$27+T294*'Multiple Regression Outputs'!$B$28</f>
        <v>579981.41484141431</v>
      </c>
      <c r="V294" s="2">
        <f t="shared" si="4"/>
        <v>-33757.714841414359</v>
      </c>
    </row>
    <row r="295" spans="1:22" ht="15" customHeight="1">
      <c r="A295" s="2">
        <v>294</v>
      </c>
      <c r="B295" s="2" t="s">
        <v>99</v>
      </c>
      <c r="C295" s="2" t="s">
        <v>18</v>
      </c>
      <c r="D295" s="2" t="s">
        <v>31</v>
      </c>
      <c r="E295" s="2" t="s">
        <v>22</v>
      </c>
      <c r="F295" s="2">
        <v>533121.26</v>
      </c>
      <c r="G295" s="2">
        <v>40102.879999999997</v>
      </c>
      <c r="H295" s="2">
        <v>2358</v>
      </c>
      <c r="I295" s="2">
        <v>0.11899999999999999</v>
      </c>
      <c r="J295" s="2">
        <v>9</v>
      </c>
      <c r="K295" s="2">
        <v>88.7</v>
      </c>
      <c r="L295" s="2">
        <v>1.6</v>
      </c>
      <c r="M295" s="2">
        <v>0</v>
      </c>
      <c r="N295" s="2">
        <v>4.2</v>
      </c>
      <c r="O295" s="2">
        <v>1</v>
      </c>
      <c r="P295" s="2">
        <v>0</v>
      </c>
      <c r="Q295" s="2">
        <v>0</v>
      </c>
      <c r="R295" s="2">
        <v>0</v>
      </c>
      <c r="S295" s="2">
        <v>0</v>
      </c>
      <c r="T295" s="2">
        <v>1</v>
      </c>
      <c r="U295" s="2">
        <f>'Multiple Regression Outputs'!$B$14+G295*'Multiple Regression Outputs'!$B$15+H295*'Multiple Regression Outputs'!$B$16+I295*'Multiple Regression Outputs'!$B$17+J295*'Multiple Regression Outputs'!$B$18+K295*'Multiple Regression Outputs'!$B$19+L295*'Multiple Regression Outputs'!$B$20+M295*'Multiple Regression Outputs'!$B$21+N295*'Multiple Regression Outputs'!$B$22+O295*'Multiple Regression Outputs'!$B$23+P295*'Multiple Regression Outputs'!$B$24+Q295*'Multiple Regression Outputs'!$B$25+R295*'Multiple Regression Outputs'!$B$26+S295*'Multiple Regression Outputs'!$B$27+T295*'Multiple Regression Outputs'!$B$28</f>
        <v>545439.56741055928</v>
      </c>
      <c r="V295" s="2">
        <f t="shared" si="4"/>
        <v>-12318.307410559268</v>
      </c>
    </row>
    <row r="296" spans="1:22" ht="15" customHeight="1">
      <c r="A296" s="2">
        <v>295</v>
      </c>
      <c r="B296" s="2" t="s">
        <v>99</v>
      </c>
      <c r="C296" s="2" t="s">
        <v>19</v>
      </c>
      <c r="D296" s="2" t="s">
        <v>31</v>
      </c>
      <c r="E296" s="2" t="s">
        <v>22</v>
      </c>
      <c r="F296" s="2">
        <v>498970.32</v>
      </c>
      <c r="G296" s="2">
        <v>59825.51</v>
      </c>
      <c r="H296" s="2">
        <v>1231</v>
      </c>
      <c r="I296" s="2">
        <v>0.214</v>
      </c>
      <c r="J296" s="2">
        <v>10</v>
      </c>
      <c r="K296" s="2">
        <v>84.8</v>
      </c>
      <c r="L296" s="2">
        <v>8.9600000000000009</v>
      </c>
      <c r="M296" s="2">
        <v>0</v>
      </c>
      <c r="N296" s="2">
        <v>4.7</v>
      </c>
      <c r="O296" s="2">
        <v>1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f>'Multiple Regression Outputs'!$B$14+G296*'Multiple Regression Outputs'!$B$15+H296*'Multiple Regression Outputs'!$B$16+I296*'Multiple Regression Outputs'!$B$17+J296*'Multiple Regression Outputs'!$B$18+K296*'Multiple Regression Outputs'!$B$19+L296*'Multiple Regression Outputs'!$B$20+M296*'Multiple Regression Outputs'!$B$21+N296*'Multiple Regression Outputs'!$B$22+O296*'Multiple Regression Outputs'!$B$23+P296*'Multiple Regression Outputs'!$B$24+Q296*'Multiple Regression Outputs'!$B$25+R296*'Multiple Regression Outputs'!$B$26+S296*'Multiple Regression Outputs'!$B$27+T296*'Multiple Regression Outputs'!$B$28</f>
        <v>507092.5841718599</v>
      </c>
      <c r="V296" s="2">
        <f t="shared" si="4"/>
        <v>-8122.2641718598898</v>
      </c>
    </row>
    <row r="297" spans="1:22" ht="15" customHeight="1">
      <c r="A297" s="2">
        <v>296</v>
      </c>
      <c r="B297" s="2" t="s">
        <v>99</v>
      </c>
      <c r="C297" s="2" t="s">
        <v>20</v>
      </c>
      <c r="D297" s="2" t="s">
        <v>31</v>
      </c>
      <c r="E297" s="2" t="s">
        <v>22</v>
      </c>
      <c r="F297" s="2">
        <v>487738.26</v>
      </c>
      <c r="G297" s="2">
        <v>27398.28</v>
      </c>
      <c r="H297" s="2">
        <v>1723</v>
      </c>
      <c r="I297" s="2">
        <v>0.17100000000000001</v>
      </c>
      <c r="J297" s="2">
        <v>9</v>
      </c>
      <c r="K297" s="2">
        <v>81</v>
      </c>
      <c r="L297" s="2">
        <v>0.74</v>
      </c>
      <c r="M297" s="2">
        <v>0</v>
      </c>
      <c r="N297" s="2">
        <v>4.5999999999999996</v>
      </c>
      <c r="O297" s="2">
        <v>1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f>'Multiple Regression Outputs'!$B$14+G297*'Multiple Regression Outputs'!$B$15+H297*'Multiple Regression Outputs'!$B$16+I297*'Multiple Regression Outputs'!$B$17+J297*'Multiple Regression Outputs'!$B$18+K297*'Multiple Regression Outputs'!$B$19+L297*'Multiple Regression Outputs'!$B$20+M297*'Multiple Regression Outputs'!$B$21+N297*'Multiple Regression Outputs'!$B$22+O297*'Multiple Regression Outputs'!$B$23+P297*'Multiple Regression Outputs'!$B$24+Q297*'Multiple Regression Outputs'!$B$25+R297*'Multiple Regression Outputs'!$B$26+S297*'Multiple Regression Outputs'!$B$27+T297*'Multiple Regression Outputs'!$B$28</f>
        <v>494946.32056968467</v>
      </c>
      <c r="V297" s="2">
        <f t="shared" si="4"/>
        <v>-7208.0605696846615</v>
      </c>
    </row>
    <row r="298" spans="1:22" ht="15" customHeight="1">
      <c r="A298" s="2">
        <v>297</v>
      </c>
      <c r="B298" s="2" t="s">
        <v>100</v>
      </c>
      <c r="C298" s="2" t="s">
        <v>15</v>
      </c>
      <c r="D298" s="2" t="s">
        <v>31</v>
      </c>
      <c r="E298" s="2" t="s">
        <v>22</v>
      </c>
      <c r="F298" s="2">
        <v>668459.37</v>
      </c>
      <c r="G298" s="2">
        <v>55599.56</v>
      </c>
      <c r="H298" s="2">
        <v>5896</v>
      </c>
      <c r="I298" s="2">
        <v>3.5999999999999997E-2</v>
      </c>
      <c r="J298" s="2">
        <v>12</v>
      </c>
      <c r="K298" s="2">
        <v>93.1</v>
      </c>
      <c r="L298" s="2">
        <v>6.13</v>
      </c>
      <c r="M298" s="2">
        <v>0</v>
      </c>
      <c r="N298" s="2">
        <v>3.3</v>
      </c>
      <c r="O298" s="2">
        <v>1</v>
      </c>
      <c r="P298" s="2">
        <v>0</v>
      </c>
      <c r="Q298" s="2">
        <v>0</v>
      </c>
      <c r="R298" s="2">
        <v>0</v>
      </c>
      <c r="S298" s="2">
        <v>0</v>
      </c>
      <c r="T298" s="2">
        <v>1</v>
      </c>
      <c r="U298" s="2">
        <f>'Multiple Regression Outputs'!$B$14+G298*'Multiple Regression Outputs'!$B$15+H298*'Multiple Regression Outputs'!$B$16+I298*'Multiple Regression Outputs'!$B$17+J298*'Multiple Regression Outputs'!$B$18+K298*'Multiple Regression Outputs'!$B$19+L298*'Multiple Regression Outputs'!$B$20+M298*'Multiple Regression Outputs'!$B$21+N298*'Multiple Regression Outputs'!$B$22+O298*'Multiple Regression Outputs'!$B$23+P298*'Multiple Regression Outputs'!$B$24+Q298*'Multiple Regression Outputs'!$B$25+R298*'Multiple Regression Outputs'!$B$26+S298*'Multiple Regression Outputs'!$B$27+T298*'Multiple Regression Outputs'!$B$28</f>
        <v>661493.85942329268</v>
      </c>
      <c r="V298" s="2">
        <f t="shared" si="4"/>
        <v>6965.510576707311</v>
      </c>
    </row>
    <row r="299" spans="1:22" ht="15" customHeight="1">
      <c r="A299" s="2">
        <v>298</v>
      </c>
      <c r="B299" s="2" t="s">
        <v>100</v>
      </c>
      <c r="C299" s="2" t="s">
        <v>18</v>
      </c>
      <c r="D299" s="2" t="s">
        <v>31</v>
      </c>
      <c r="E299" s="2" t="s">
        <v>22</v>
      </c>
      <c r="F299" s="2">
        <v>763162.45</v>
      </c>
      <c r="G299" s="2">
        <v>55477.61</v>
      </c>
      <c r="H299" s="2">
        <v>5903</v>
      </c>
      <c r="I299" s="2">
        <v>0.10199999999999999</v>
      </c>
      <c r="J299" s="2">
        <v>14</v>
      </c>
      <c r="K299" s="2">
        <v>96.2</v>
      </c>
      <c r="L299" s="2">
        <v>1.41</v>
      </c>
      <c r="M299" s="2">
        <v>0</v>
      </c>
      <c r="N299" s="2">
        <v>3.3</v>
      </c>
      <c r="O299" s="2">
        <v>1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f>'Multiple Regression Outputs'!$B$14+G299*'Multiple Regression Outputs'!$B$15+H299*'Multiple Regression Outputs'!$B$16+I299*'Multiple Regression Outputs'!$B$17+J299*'Multiple Regression Outputs'!$B$18+K299*'Multiple Regression Outputs'!$B$19+L299*'Multiple Regression Outputs'!$B$20+M299*'Multiple Regression Outputs'!$B$21+N299*'Multiple Regression Outputs'!$B$22+O299*'Multiple Regression Outputs'!$B$23+P299*'Multiple Regression Outputs'!$B$24+Q299*'Multiple Regression Outputs'!$B$25+R299*'Multiple Regression Outputs'!$B$26+S299*'Multiple Regression Outputs'!$B$27+T299*'Multiple Regression Outputs'!$B$28</f>
        <v>691553.13373315625</v>
      </c>
      <c r="V299" s="2">
        <f t="shared" si="4"/>
        <v>71609.3162668437</v>
      </c>
    </row>
    <row r="300" spans="1:22" ht="15" customHeight="1">
      <c r="A300" s="2">
        <v>299</v>
      </c>
      <c r="B300" s="2" t="s">
        <v>100</v>
      </c>
      <c r="C300" s="2" t="s">
        <v>19</v>
      </c>
      <c r="D300" s="2" t="s">
        <v>31</v>
      </c>
      <c r="E300" s="2" t="s">
        <v>22</v>
      </c>
      <c r="F300" s="2">
        <v>599017.32999999996</v>
      </c>
      <c r="G300" s="2">
        <v>46174.7</v>
      </c>
      <c r="H300" s="2">
        <v>4898</v>
      </c>
      <c r="I300" s="2">
        <v>0.114</v>
      </c>
      <c r="J300" s="2">
        <v>11</v>
      </c>
      <c r="K300" s="2">
        <v>91.7</v>
      </c>
      <c r="L300" s="2">
        <v>3.75</v>
      </c>
      <c r="M300" s="2">
        <v>0</v>
      </c>
      <c r="N300" s="2">
        <v>3.1</v>
      </c>
      <c r="O300" s="2">
        <v>1</v>
      </c>
      <c r="P300" s="2">
        <v>0</v>
      </c>
      <c r="Q300" s="2">
        <v>0</v>
      </c>
      <c r="R300" s="2">
        <v>0</v>
      </c>
      <c r="S300" s="2">
        <v>0</v>
      </c>
      <c r="T300" s="2">
        <v>1</v>
      </c>
      <c r="U300" s="2">
        <f>'Multiple Regression Outputs'!$B$14+G300*'Multiple Regression Outputs'!$B$15+H300*'Multiple Regression Outputs'!$B$16+I300*'Multiple Regression Outputs'!$B$17+J300*'Multiple Regression Outputs'!$B$18+K300*'Multiple Regression Outputs'!$B$19+L300*'Multiple Regression Outputs'!$B$20+M300*'Multiple Regression Outputs'!$B$21+N300*'Multiple Regression Outputs'!$B$22+O300*'Multiple Regression Outputs'!$B$23+P300*'Multiple Regression Outputs'!$B$24+Q300*'Multiple Regression Outputs'!$B$25+R300*'Multiple Regression Outputs'!$B$26+S300*'Multiple Regression Outputs'!$B$27+T300*'Multiple Regression Outputs'!$B$28</f>
        <v>617477.27574299276</v>
      </c>
      <c r="V300" s="2">
        <f t="shared" si="4"/>
        <v>-18459.945742992801</v>
      </c>
    </row>
    <row r="301" spans="1:22" ht="15" customHeight="1">
      <c r="A301" s="2">
        <v>300</v>
      </c>
      <c r="B301" s="2" t="s">
        <v>100</v>
      </c>
      <c r="C301" s="2" t="s">
        <v>20</v>
      </c>
      <c r="D301" s="2" t="s">
        <v>31</v>
      </c>
      <c r="E301" s="2" t="s">
        <v>22</v>
      </c>
      <c r="F301" s="2">
        <v>401582.58</v>
      </c>
      <c r="G301" s="2">
        <v>24362.98</v>
      </c>
      <c r="H301" s="2">
        <v>1462</v>
      </c>
      <c r="I301" s="2">
        <v>0.11700000000000001</v>
      </c>
      <c r="J301" s="2">
        <v>6</v>
      </c>
      <c r="K301" s="2">
        <v>89.3</v>
      </c>
      <c r="L301" s="2">
        <v>15.06</v>
      </c>
      <c r="M301" s="2">
        <v>0</v>
      </c>
      <c r="N301" s="2">
        <v>3.2</v>
      </c>
      <c r="O301" s="2">
        <v>1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f>'Multiple Regression Outputs'!$B$14+G301*'Multiple Regression Outputs'!$B$15+H301*'Multiple Regression Outputs'!$B$16+I301*'Multiple Regression Outputs'!$B$17+J301*'Multiple Regression Outputs'!$B$18+K301*'Multiple Regression Outputs'!$B$19+L301*'Multiple Regression Outputs'!$B$20+M301*'Multiple Regression Outputs'!$B$21+N301*'Multiple Regression Outputs'!$B$22+O301*'Multiple Regression Outputs'!$B$23+P301*'Multiple Regression Outputs'!$B$24+Q301*'Multiple Regression Outputs'!$B$25+R301*'Multiple Regression Outputs'!$B$26+S301*'Multiple Regression Outputs'!$B$27+T301*'Multiple Regression Outputs'!$B$28</f>
        <v>434510.40458333003</v>
      </c>
      <c r="V301" s="2">
        <f t="shared" si="4"/>
        <v>-32927.824583330017</v>
      </c>
    </row>
    <row r="302" spans="1:22" ht="15" customHeight="1">
      <c r="A302" s="2">
        <v>301</v>
      </c>
      <c r="B302" s="2" t="s">
        <v>101</v>
      </c>
      <c r="C302" s="2" t="s">
        <v>15</v>
      </c>
      <c r="D302" s="2" t="s">
        <v>24</v>
      </c>
      <c r="E302" s="2" t="s">
        <v>32</v>
      </c>
      <c r="F302" s="2">
        <v>703812.99</v>
      </c>
      <c r="G302" s="2">
        <v>40647.67</v>
      </c>
      <c r="H302" s="2">
        <v>8252</v>
      </c>
      <c r="I302" s="2">
        <v>0.14099999999999999</v>
      </c>
      <c r="J302" s="2">
        <v>22</v>
      </c>
      <c r="K302" s="2">
        <v>88.2</v>
      </c>
      <c r="L302" s="2">
        <v>5.07</v>
      </c>
      <c r="M302" s="2">
        <v>1</v>
      </c>
      <c r="N302" s="2">
        <v>4.0999999999999996</v>
      </c>
      <c r="O302" s="2">
        <v>0</v>
      </c>
      <c r="P302" s="2">
        <v>1</v>
      </c>
      <c r="Q302" s="2">
        <v>0</v>
      </c>
      <c r="R302" s="2">
        <v>1</v>
      </c>
      <c r="S302" s="2">
        <v>0</v>
      </c>
      <c r="T302" s="2">
        <v>0</v>
      </c>
      <c r="U302" s="2">
        <f>'Multiple Regression Outputs'!$B$14+G302*'Multiple Regression Outputs'!$B$15+H302*'Multiple Regression Outputs'!$B$16+I302*'Multiple Regression Outputs'!$B$17+J302*'Multiple Regression Outputs'!$B$18+K302*'Multiple Regression Outputs'!$B$19+L302*'Multiple Regression Outputs'!$B$20+M302*'Multiple Regression Outputs'!$B$21+N302*'Multiple Regression Outputs'!$B$22+O302*'Multiple Regression Outputs'!$B$23+P302*'Multiple Regression Outputs'!$B$24+Q302*'Multiple Regression Outputs'!$B$25+R302*'Multiple Regression Outputs'!$B$26+S302*'Multiple Regression Outputs'!$B$27+T302*'Multiple Regression Outputs'!$B$28</f>
        <v>749635.98713899706</v>
      </c>
      <c r="V302" s="2">
        <f t="shared" si="4"/>
        <v>-45822.997138997074</v>
      </c>
    </row>
    <row r="303" spans="1:22" ht="15" customHeight="1">
      <c r="A303" s="2">
        <v>302</v>
      </c>
      <c r="B303" s="2" t="s">
        <v>101</v>
      </c>
      <c r="C303" s="2" t="s">
        <v>18</v>
      </c>
      <c r="D303" s="2" t="s">
        <v>24</v>
      </c>
      <c r="E303" s="2" t="s">
        <v>32</v>
      </c>
      <c r="F303" s="2">
        <v>724346.73</v>
      </c>
      <c r="G303" s="2">
        <v>63986.98</v>
      </c>
      <c r="H303" s="2">
        <v>7989</v>
      </c>
      <c r="I303" s="2">
        <v>7.3999999999999996E-2</v>
      </c>
      <c r="J303" s="2">
        <v>20</v>
      </c>
      <c r="K303" s="2">
        <v>83.3</v>
      </c>
      <c r="L303" s="2">
        <v>3.6</v>
      </c>
      <c r="M303" s="2">
        <v>0</v>
      </c>
      <c r="N303" s="2">
        <v>3.7</v>
      </c>
      <c r="O303" s="2">
        <v>0</v>
      </c>
      <c r="P303" s="2">
        <v>1</v>
      </c>
      <c r="Q303" s="2">
        <v>0</v>
      </c>
      <c r="R303" s="2">
        <v>1</v>
      </c>
      <c r="S303" s="2">
        <v>0</v>
      </c>
      <c r="T303" s="2">
        <v>0</v>
      </c>
      <c r="U303" s="2">
        <f>'Multiple Regression Outputs'!$B$14+G303*'Multiple Regression Outputs'!$B$15+H303*'Multiple Regression Outputs'!$B$16+I303*'Multiple Regression Outputs'!$B$17+J303*'Multiple Regression Outputs'!$B$18+K303*'Multiple Regression Outputs'!$B$19+L303*'Multiple Regression Outputs'!$B$20+M303*'Multiple Regression Outputs'!$B$21+N303*'Multiple Regression Outputs'!$B$22+O303*'Multiple Regression Outputs'!$B$23+P303*'Multiple Regression Outputs'!$B$24+Q303*'Multiple Regression Outputs'!$B$25+R303*'Multiple Regression Outputs'!$B$26+S303*'Multiple Regression Outputs'!$B$27+T303*'Multiple Regression Outputs'!$B$28</f>
        <v>736320.07312644157</v>
      </c>
      <c r="V303" s="2">
        <f t="shared" si="4"/>
        <v>-11973.343126441585</v>
      </c>
    </row>
    <row r="304" spans="1:22" ht="15" customHeight="1">
      <c r="A304" s="2">
        <v>303</v>
      </c>
      <c r="B304" s="2" t="s">
        <v>101</v>
      </c>
      <c r="C304" s="2" t="s">
        <v>19</v>
      </c>
      <c r="D304" s="2" t="s">
        <v>24</v>
      </c>
      <c r="E304" s="2" t="s">
        <v>32</v>
      </c>
      <c r="F304" s="2">
        <v>730890.01</v>
      </c>
      <c r="G304" s="2">
        <v>52843.75</v>
      </c>
      <c r="H304" s="2">
        <v>8268</v>
      </c>
      <c r="I304" s="2">
        <v>0.13800000000000001</v>
      </c>
      <c r="J304" s="2">
        <v>19</v>
      </c>
      <c r="K304" s="2">
        <v>87.3</v>
      </c>
      <c r="L304" s="2">
        <v>4.3899999999999997</v>
      </c>
      <c r="M304" s="2">
        <v>1</v>
      </c>
      <c r="N304" s="2">
        <v>4.7</v>
      </c>
      <c r="O304" s="2">
        <v>0</v>
      </c>
      <c r="P304" s="2">
        <v>1</v>
      </c>
      <c r="Q304" s="2">
        <v>0</v>
      </c>
      <c r="R304" s="2">
        <v>1</v>
      </c>
      <c r="S304" s="2">
        <v>0</v>
      </c>
      <c r="T304" s="2">
        <v>0</v>
      </c>
      <c r="U304" s="2">
        <f>'Multiple Regression Outputs'!$B$14+G304*'Multiple Regression Outputs'!$B$15+H304*'Multiple Regression Outputs'!$B$16+I304*'Multiple Regression Outputs'!$B$17+J304*'Multiple Regression Outputs'!$B$18+K304*'Multiple Regression Outputs'!$B$19+L304*'Multiple Regression Outputs'!$B$20+M304*'Multiple Regression Outputs'!$B$21+N304*'Multiple Regression Outputs'!$B$22+O304*'Multiple Regression Outputs'!$B$23+P304*'Multiple Regression Outputs'!$B$24+Q304*'Multiple Regression Outputs'!$B$25+R304*'Multiple Regression Outputs'!$B$26+S304*'Multiple Regression Outputs'!$B$27+T304*'Multiple Regression Outputs'!$B$28</f>
        <v>761515.88380121405</v>
      </c>
      <c r="V304" s="2">
        <f t="shared" si="4"/>
        <v>-30625.873801214038</v>
      </c>
    </row>
    <row r="305" spans="1:22" ht="15" customHeight="1">
      <c r="A305" s="2">
        <v>304</v>
      </c>
      <c r="B305" s="2" t="s">
        <v>101</v>
      </c>
      <c r="C305" s="2" t="s">
        <v>20</v>
      </c>
      <c r="D305" s="2" t="s">
        <v>24</v>
      </c>
      <c r="E305" s="2" t="s">
        <v>32</v>
      </c>
      <c r="F305" s="2">
        <v>780580.95</v>
      </c>
      <c r="G305" s="2">
        <v>31997.25</v>
      </c>
      <c r="H305" s="2">
        <v>8183</v>
      </c>
      <c r="I305" s="2">
        <v>0.19800000000000001</v>
      </c>
      <c r="J305" s="2">
        <v>18</v>
      </c>
      <c r="K305" s="2">
        <v>93</v>
      </c>
      <c r="L305" s="2">
        <v>2.79</v>
      </c>
      <c r="M305" s="2">
        <v>0</v>
      </c>
      <c r="N305" s="2">
        <v>4.2</v>
      </c>
      <c r="O305" s="2">
        <v>0</v>
      </c>
      <c r="P305" s="2">
        <v>1</v>
      </c>
      <c r="Q305" s="2">
        <v>0</v>
      </c>
      <c r="R305" s="2">
        <v>1</v>
      </c>
      <c r="S305" s="2">
        <v>0</v>
      </c>
      <c r="T305" s="2">
        <v>0</v>
      </c>
      <c r="U305" s="2">
        <f>'Multiple Regression Outputs'!$B$14+G305*'Multiple Regression Outputs'!$B$15+H305*'Multiple Regression Outputs'!$B$16+I305*'Multiple Regression Outputs'!$B$17+J305*'Multiple Regression Outputs'!$B$18+K305*'Multiple Regression Outputs'!$B$19+L305*'Multiple Regression Outputs'!$B$20+M305*'Multiple Regression Outputs'!$B$21+N305*'Multiple Regression Outputs'!$B$22+O305*'Multiple Regression Outputs'!$B$23+P305*'Multiple Regression Outputs'!$B$24+Q305*'Multiple Regression Outputs'!$B$25+R305*'Multiple Regression Outputs'!$B$26+S305*'Multiple Regression Outputs'!$B$27+T305*'Multiple Regression Outputs'!$B$28</f>
        <v>729530.09818783146</v>
      </c>
      <c r="V305" s="2">
        <f t="shared" si="4"/>
        <v>51050.85181216849</v>
      </c>
    </row>
    <row r="306" spans="1:22" ht="15" customHeight="1">
      <c r="A306" s="2">
        <v>305</v>
      </c>
      <c r="B306" s="2" t="s">
        <v>102</v>
      </c>
      <c r="C306" s="2" t="s">
        <v>15</v>
      </c>
      <c r="D306" s="2" t="s">
        <v>28</v>
      </c>
      <c r="E306" s="2" t="s">
        <v>17</v>
      </c>
      <c r="F306" s="2">
        <v>727957.48</v>
      </c>
      <c r="G306" s="2">
        <v>54948.02</v>
      </c>
      <c r="H306" s="2">
        <v>6534</v>
      </c>
      <c r="I306" s="2">
        <v>0.183</v>
      </c>
      <c r="J306" s="2">
        <v>14</v>
      </c>
      <c r="K306" s="2">
        <v>94.5</v>
      </c>
      <c r="L306" s="2">
        <v>1.56</v>
      </c>
      <c r="M306" s="2">
        <v>0</v>
      </c>
      <c r="N306" s="2">
        <v>4</v>
      </c>
      <c r="O306" s="2">
        <v>0</v>
      </c>
      <c r="P306" s="2">
        <v>0</v>
      </c>
      <c r="Q306" s="2">
        <v>1</v>
      </c>
      <c r="R306" s="2">
        <v>0</v>
      </c>
      <c r="S306" s="2">
        <v>1</v>
      </c>
      <c r="T306" s="2">
        <v>0</v>
      </c>
      <c r="U306" s="2">
        <f>'Multiple Regression Outputs'!$B$14+G306*'Multiple Regression Outputs'!$B$15+H306*'Multiple Regression Outputs'!$B$16+I306*'Multiple Regression Outputs'!$B$17+J306*'Multiple Regression Outputs'!$B$18+K306*'Multiple Regression Outputs'!$B$19+L306*'Multiple Regression Outputs'!$B$20+M306*'Multiple Regression Outputs'!$B$21+N306*'Multiple Regression Outputs'!$B$22+O306*'Multiple Regression Outputs'!$B$23+P306*'Multiple Regression Outputs'!$B$24+Q306*'Multiple Regression Outputs'!$B$25+R306*'Multiple Regression Outputs'!$B$26+S306*'Multiple Regression Outputs'!$B$27+T306*'Multiple Regression Outputs'!$B$28</f>
        <v>683434.84852706059</v>
      </c>
      <c r="V306" s="2">
        <f t="shared" si="4"/>
        <v>44522.631472939393</v>
      </c>
    </row>
    <row r="307" spans="1:22" ht="15" customHeight="1">
      <c r="A307" s="2">
        <v>306</v>
      </c>
      <c r="B307" s="2" t="s">
        <v>102</v>
      </c>
      <c r="C307" s="2" t="s">
        <v>18</v>
      </c>
      <c r="D307" s="2" t="s">
        <v>28</v>
      </c>
      <c r="E307" s="2" t="s">
        <v>17</v>
      </c>
      <c r="F307" s="2">
        <v>538376</v>
      </c>
      <c r="G307" s="2">
        <v>46146.239999999998</v>
      </c>
      <c r="H307" s="2">
        <v>5804</v>
      </c>
      <c r="I307" s="2">
        <v>4.7E-2</v>
      </c>
      <c r="J307" s="2">
        <v>16</v>
      </c>
      <c r="K307" s="2">
        <v>86.9</v>
      </c>
      <c r="L307" s="2">
        <v>15.82</v>
      </c>
      <c r="M307" s="2">
        <v>0</v>
      </c>
      <c r="N307" s="2">
        <v>3.8</v>
      </c>
      <c r="O307" s="2">
        <v>0</v>
      </c>
      <c r="P307" s="2">
        <v>0</v>
      </c>
      <c r="Q307" s="2">
        <v>1</v>
      </c>
      <c r="R307" s="2">
        <v>0</v>
      </c>
      <c r="S307" s="2">
        <v>1</v>
      </c>
      <c r="T307" s="2">
        <v>0</v>
      </c>
      <c r="U307" s="2">
        <f>'Multiple Regression Outputs'!$B$14+G307*'Multiple Regression Outputs'!$B$15+H307*'Multiple Regression Outputs'!$B$16+I307*'Multiple Regression Outputs'!$B$17+J307*'Multiple Regression Outputs'!$B$18+K307*'Multiple Regression Outputs'!$B$19+L307*'Multiple Regression Outputs'!$B$20+M307*'Multiple Regression Outputs'!$B$21+N307*'Multiple Regression Outputs'!$B$22+O307*'Multiple Regression Outputs'!$B$23+P307*'Multiple Regression Outputs'!$B$24+Q307*'Multiple Regression Outputs'!$B$25+R307*'Multiple Regression Outputs'!$B$26+S307*'Multiple Regression Outputs'!$B$27+T307*'Multiple Regression Outputs'!$B$28</f>
        <v>590653.65924424271</v>
      </c>
      <c r="V307" s="2">
        <f t="shared" si="4"/>
        <v>-52277.659244242706</v>
      </c>
    </row>
    <row r="308" spans="1:22" ht="15" customHeight="1">
      <c r="A308" s="2">
        <v>307</v>
      </c>
      <c r="B308" s="2" t="s">
        <v>102</v>
      </c>
      <c r="C308" s="2" t="s">
        <v>19</v>
      </c>
      <c r="D308" s="2" t="s">
        <v>28</v>
      </c>
      <c r="E308" s="2" t="s">
        <v>17</v>
      </c>
      <c r="F308" s="2">
        <v>665342.49</v>
      </c>
      <c r="G308" s="2">
        <v>22387.26</v>
      </c>
      <c r="H308" s="2">
        <v>6301</v>
      </c>
      <c r="I308" s="2">
        <v>0.14599999999999999</v>
      </c>
      <c r="J308" s="2">
        <v>14</v>
      </c>
      <c r="K308" s="2">
        <v>85.9</v>
      </c>
      <c r="L308" s="2">
        <v>1.17</v>
      </c>
      <c r="M308" s="2">
        <v>1</v>
      </c>
      <c r="N308" s="2">
        <v>3.7</v>
      </c>
      <c r="O308" s="2">
        <v>0</v>
      </c>
      <c r="P308" s="2">
        <v>0</v>
      </c>
      <c r="Q308" s="2">
        <v>1</v>
      </c>
      <c r="R308" s="2">
        <v>0</v>
      </c>
      <c r="S308" s="2">
        <v>1</v>
      </c>
      <c r="T308" s="2">
        <v>0</v>
      </c>
      <c r="U308" s="2">
        <f>'Multiple Regression Outputs'!$B$14+G308*'Multiple Regression Outputs'!$B$15+H308*'Multiple Regression Outputs'!$B$16+I308*'Multiple Regression Outputs'!$B$17+J308*'Multiple Regression Outputs'!$B$18+K308*'Multiple Regression Outputs'!$B$19+L308*'Multiple Regression Outputs'!$B$20+M308*'Multiple Regression Outputs'!$B$21+N308*'Multiple Regression Outputs'!$B$22+O308*'Multiple Regression Outputs'!$B$23+P308*'Multiple Regression Outputs'!$B$24+Q308*'Multiple Regression Outputs'!$B$25+R308*'Multiple Regression Outputs'!$B$26+S308*'Multiple Regression Outputs'!$B$27+T308*'Multiple Regression Outputs'!$B$28</f>
        <v>625605.62291480217</v>
      </c>
      <c r="V308" s="2">
        <f t="shared" si="4"/>
        <v>39736.867085197824</v>
      </c>
    </row>
    <row r="309" spans="1:22" ht="15" customHeight="1">
      <c r="A309" s="2">
        <v>308</v>
      </c>
      <c r="B309" s="2" t="s">
        <v>102</v>
      </c>
      <c r="C309" s="2" t="s">
        <v>20</v>
      </c>
      <c r="D309" s="2" t="s">
        <v>28</v>
      </c>
      <c r="E309" s="2" t="s">
        <v>17</v>
      </c>
      <c r="F309" s="2">
        <v>651164.18000000005</v>
      </c>
      <c r="G309" s="2">
        <v>60684.05</v>
      </c>
      <c r="H309" s="2">
        <v>6399</v>
      </c>
      <c r="I309" s="2">
        <v>7.4999999999999997E-2</v>
      </c>
      <c r="J309" s="2">
        <v>16</v>
      </c>
      <c r="K309" s="2">
        <v>99</v>
      </c>
      <c r="L309" s="2">
        <v>3.82</v>
      </c>
      <c r="M309" s="2">
        <v>0</v>
      </c>
      <c r="N309" s="2">
        <v>3.5</v>
      </c>
      <c r="O309" s="2">
        <v>0</v>
      </c>
      <c r="P309" s="2">
        <v>0</v>
      </c>
      <c r="Q309" s="2">
        <v>1</v>
      </c>
      <c r="R309" s="2">
        <v>0</v>
      </c>
      <c r="S309" s="2">
        <v>1</v>
      </c>
      <c r="T309" s="2">
        <v>0</v>
      </c>
      <c r="U309" s="2">
        <f>'Multiple Regression Outputs'!$B$14+G309*'Multiple Regression Outputs'!$B$15+H309*'Multiple Regression Outputs'!$B$16+I309*'Multiple Regression Outputs'!$B$17+J309*'Multiple Regression Outputs'!$B$18+K309*'Multiple Regression Outputs'!$B$19+L309*'Multiple Regression Outputs'!$B$20+M309*'Multiple Regression Outputs'!$B$21+N309*'Multiple Regression Outputs'!$B$22+O309*'Multiple Regression Outputs'!$B$23+P309*'Multiple Regression Outputs'!$B$24+Q309*'Multiple Regression Outputs'!$B$25+R309*'Multiple Regression Outputs'!$B$26+S309*'Multiple Regression Outputs'!$B$27+T309*'Multiple Regression Outputs'!$B$28</f>
        <v>697910.7985107908</v>
      </c>
      <c r="V309" s="2">
        <f t="shared" si="4"/>
        <v>-46746.618510790751</v>
      </c>
    </row>
    <row r="310" spans="1:22" ht="15" customHeight="1">
      <c r="A310" s="2">
        <v>309</v>
      </c>
      <c r="B310" s="2" t="s">
        <v>103</v>
      </c>
      <c r="C310" s="2" t="s">
        <v>15</v>
      </c>
      <c r="D310" s="2" t="s">
        <v>28</v>
      </c>
      <c r="E310" s="2" t="s">
        <v>22</v>
      </c>
      <c r="F310" s="2">
        <v>628538.30000000005</v>
      </c>
      <c r="G310" s="2">
        <v>48465.599999999999</v>
      </c>
      <c r="H310" s="2">
        <v>5759</v>
      </c>
      <c r="I310" s="2">
        <v>0.154</v>
      </c>
      <c r="J310" s="2">
        <v>13</v>
      </c>
      <c r="K310" s="2">
        <v>87.5</v>
      </c>
      <c r="L310" s="2">
        <v>4.1399999999999997</v>
      </c>
      <c r="M310" s="2">
        <v>0</v>
      </c>
      <c r="N310" s="2">
        <v>4</v>
      </c>
      <c r="O310" s="2">
        <v>1</v>
      </c>
      <c r="P310" s="2">
        <v>0</v>
      </c>
      <c r="Q310" s="2">
        <v>0</v>
      </c>
      <c r="R310" s="2">
        <v>0</v>
      </c>
      <c r="S310" s="2">
        <v>1</v>
      </c>
      <c r="T310" s="2">
        <v>0</v>
      </c>
      <c r="U310" s="2">
        <f>'Multiple Regression Outputs'!$B$14+G310*'Multiple Regression Outputs'!$B$15+H310*'Multiple Regression Outputs'!$B$16+I310*'Multiple Regression Outputs'!$B$17+J310*'Multiple Regression Outputs'!$B$18+K310*'Multiple Regression Outputs'!$B$19+L310*'Multiple Regression Outputs'!$B$20+M310*'Multiple Regression Outputs'!$B$21+N310*'Multiple Regression Outputs'!$B$22+O310*'Multiple Regression Outputs'!$B$23+P310*'Multiple Regression Outputs'!$B$24+Q310*'Multiple Regression Outputs'!$B$25+R310*'Multiple Regression Outputs'!$B$26+S310*'Multiple Regression Outputs'!$B$27+T310*'Multiple Regression Outputs'!$B$28</f>
        <v>642007.1537084165</v>
      </c>
      <c r="V310" s="2">
        <f t="shared" si="4"/>
        <v>-13468.853708416456</v>
      </c>
    </row>
    <row r="311" spans="1:22" ht="15" customHeight="1">
      <c r="A311" s="2">
        <v>310</v>
      </c>
      <c r="B311" s="2" t="s">
        <v>103</v>
      </c>
      <c r="C311" s="2" t="s">
        <v>18</v>
      </c>
      <c r="D311" s="2" t="s">
        <v>28</v>
      </c>
      <c r="E311" s="2" t="s">
        <v>22</v>
      </c>
      <c r="F311" s="2">
        <v>536524.84</v>
      </c>
      <c r="G311" s="2">
        <v>23702.38</v>
      </c>
      <c r="H311" s="2">
        <v>5285</v>
      </c>
      <c r="I311" s="2">
        <v>0.16700000000000001</v>
      </c>
      <c r="J311" s="2">
        <v>14</v>
      </c>
      <c r="K311" s="2">
        <v>79.7</v>
      </c>
      <c r="L311" s="2">
        <v>1.1000000000000001</v>
      </c>
      <c r="M311" s="2">
        <v>0</v>
      </c>
      <c r="N311" s="2">
        <v>4.3</v>
      </c>
      <c r="O311" s="2">
        <v>1</v>
      </c>
      <c r="P311" s="2">
        <v>0</v>
      </c>
      <c r="Q311" s="2">
        <v>0</v>
      </c>
      <c r="R311" s="2">
        <v>0</v>
      </c>
      <c r="S311" s="2">
        <v>1</v>
      </c>
      <c r="T311" s="2">
        <v>0</v>
      </c>
      <c r="U311" s="2">
        <f>'Multiple Regression Outputs'!$B$14+G311*'Multiple Regression Outputs'!$B$15+H311*'Multiple Regression Outputs'!$B$16+I311*'Multiple Regression Outputs'!$B$17+J311*'Multiple Regression Outputs'!$B$18+K311*'Multiple Regression Outputs'!$B$19+L311*'Multiple Regression Outputs'!$B$20+M311*'Multiple Regression Outputs'!$B$21+N311*'Multiple Regression Outputs'!$B$22+O311*'Multiple Regression Outputs'!$B$23+P311*'Multiple Regression Outputs'!$B$24+Q311*'Multiple Regression Outputs'!$B$25+R311*'Multiple Regression Outputs'!$B$26+S311*'Multiple Regression Outputs'!$B$27+T311*'Multiple Regression Outputs'!$B$28</f>
        <v>592379.75637334748</v>
      </c>
      <c r="V311" s="2">
        <f t="shared" si="4"/>
        <v>-55854.916373347514</v>
      </c>
    </row>
    <row r="312" spans="1:22" ht="15" customHeight="1">
      <c r="A312" s="2">
        <v>311</v>
      </c>
      <c r="B312" s="2" t="s">
        <v>103</v>
      </c>
      <c r="C312" s="2" t="s">
        <v>19</v>
      </c>
      <c r="D312" s="2" t="s">
        <v>28</v>
      </c>
      <c r="E312" s="2" t="s">
        <v>22</v>
      </c>
      <c r="F312" s="2">
        <v>621677.30000000005</v>
      </c>
      <c r="G312" s="2">
        <v>54322.94</v>
      </c>
      <c r="H312" s="2">
        <v>5434</v>
      </c>
      <c r="I312" s="2">
        <v>0.2</v>
      </c>
      <c r="J312" s="2">
        <v>13</v>
      </c>
      <c r="K312" s="2">
        <v>85.7</v>
      </c>
      <c r="L312" s="2">
        <v>10.6</v>
      </c>
      <c r="M312" s="2">
        <v>0</v>
      </c>
      <c r="N312" s="2">
        <v>4.2</v>
      </c>
      <c r="O312" s="2">
        <v>1</v>
      </c>
      <c r="P312" s="2">
        <v>0</v>
      </c>
      <c r="Q312" s="2">
        <v>0</v>
      </c>
      <c r="R312" s="2">
        <v>0</v>
      </c>
      <c r="S312" s="2">
        <v>1</v>
      </c>
      <c r="T312" s="2">
        <v>0</v>
      </c>
      <c r="U312" s="2">
        <f>'Multiple Regression Outputs'!$B$14+G312*'Multiple Regression Outputs'!$B$15+H312*'Multiple Regression Outputs'!$B$16+I312*'Multiple Regression Outputs'!$B$17+J312*'Multiple Regression Outputs'!$B$18+K312*'Multiple Regression Outputs'!$B$19+L312*'Multiple Regression Outputs'!$B$20+M312*'Multiple Regression Outputs'!$B$21+N312*'Multiple Regression Outputs'!$B$22+O312*'Multiple Regression Outputs'!$B$23+P312*'Multiple Regression Outputs'!$B$24+Q312*'Multiple Regression Outputs'!$B$25+R312*'Multiple Regression Outputs'!$B$26+S312*'Multiple Regression Outputs'!$B$27+T312*'Multiple Regression Outputs'!$B$28</f>
        <v>613092.40474688658</v>
      </c>
      <c r="V312" s="2">
        <f t="shared" si="4"/>
        <v>8584.895253113471</v>
      </c>
    </row>
    <row r="313" spans="1:22" ht="15" customHeight="1">
      <c r="A313" s="2">
        <v>312</v>
      </c>
      <c r="B313" s="2" t="s">
        <v>103</v>
      </c>
      <c r="C313" s="2" t="s">
        <v>20</v>
      </c>
      <c r="D313" s="2" t="s">
        <v>28</v>
      </c>
      <c r="E313" s="2" t="s">
        <v>22</v>
      </c>
      <c r="F313" s="2">
        <v>771129.07</v>
      </c>
      <c r="G313" s="2">
        <v>86026.58</v>
      </c>
      <c r="H313" s="2">
        <v>7479</v>
      </c>
      <c r="I313" s="2">
        <v>0.14199999999999999</v>
      </c>
      <c r="J313" s="2">
        <v>20</v>
      </c>
      <c r="K313" s="2">
        <v>89</v>
      </c>
      <c r="L313" s="2">
        <v>0.9</v>
      </c>
      <c r="M313" s="2">
        <v>0</v>
      </c>
      <c r="N313" s="2">
        <v>3.9</v>
      </c>
      <c r="O313" s="2">
        <v>1</v>
      </c>
      <c r="P313" s="2">
        <v>0</v>
      </c>
      <c r="Q313" s="2">
        <v>0</v>
      </c>
      <c r="R313" s="2">
        <v>0</v>
      </c>
      <c r="S313" s="2">
        <v>1</v>
      </c>
      <c r="T313" s="2">
        <v>0</v>
      </c>
      <c r="U313" s="2">
        <f>'Multiple Regression Outputs'!$B$14+G313*'Multiple Regression Outputs'!$B$15+H313*'Multiple Regression Outputs'!$B$16+I313*'Multiple Regression Outputs'!$B$17+J313*'Multiple Regression Outputs'!$B$18+K313*'Multiple Regression Outputs'!$B$19+L313*'Multiple Regression Outputs'!$B$20+M313*'Multiple Regression Outputs'!$B$21+N313*'Multiple Regression Outputs'!$B$22+O313*'Multiple Regression Outputs'!$B$23+P313*'Multiple Regression Outputs'!$B$24+Q313*'Multiple Regression Outputs'!$B$25+R313*'Multiple Regression Outputs'!$B$26+S313*'Multiple Regression Outputs'!$B$27+T313*'Multiple Regression Outputs'!$B$28</f>
        <v>774007.05954006407</v>
      </c>
      <c r="V313" s="2">
        <f t="shared" si="4"/>
        <v>-2877.9895400641253</v>
      </c>
    </row>
    <row r="314" spans="1:22" ht="15" customHeight="1">
      <c r="A314" s="2">
        <v>313</v>
      </c>
      <c r="B314" s="2" t="s">
        <v>104</v>
      </c>
      <c r="C314" s="2" t="s">
        <v>15</v>
      </c>
      <c r="D314" s="2" t="s">
        <v>24</v>
      </c>
      <c r="E314" s="2" t="s">
        <v>17</v>
      </c>
      <c r="F314" s="2">
        <v>702052.47</v>
      </c>
      <c r="G314" s="2">
        <v>78967.520000000004</v>
      </c>
      <c r="H314" s="2">
        <v>6164</v>
      </c>
      <c r="I314" s="2">
        <v>2.1000000000000001E-2</v>
      </c>
      <c r="J314" s="2">
        <v>16</v>
      </c>
      <c r="K314" s="2">
        <v>85.5</v>
      </c>
      <c r="L314" s="2">
        <v>0.2</v>
      </c>
      <c r="M314" s="2">
        <v>0</v>
      </c>
      <c r="N314" s="2">
        <v>3.4</v>
      </c>
      <c r="O314" s="2">
        <v>0</v>
      </c>
      <c r="P314" s="2">
        <v>0</v>
      </c>
      <c r="Q314" s="2">
        <v>1</v>
      </c>
      <c r="R314" s="2">
        <v>1</v>
      </c>
      <c r="S314" s="2">
        <v>0</v>
      </c>
      <c r="T314" s="2">
        <v>0</v>
      </c>
      <c r="U314" s="2">
        <f>'Multiple Regression Outputs'!$B$14+G314*'Multiple Regression Outputs'!$B$15+H314*'Multiple Regression Outputs'!$B$16+I314*'Multiple Regression Outputs'!$B$17+J314*'Multiple Regression Outputs'!$B$18+K314*'Multiple Regression Outputs'!$B$19+L314*'Multiple Regression Outputs'!$B$20+M314*'Multiple Regression Outputs'!$B$21+N314*'Multiple Regression Outputs'!$B$22+O314*'Multiple Regression Outputs'!$B$23+P314*'Multiple Regression Outputs'!$B$24+Q314*'Multiple Regression Outputs'!$B$25+R314*'Multiple Regression Outputs'!$B$26+S314*'Multiple Regression Outputs'!$B$27+T314*'Multiple Regression Outputs'!$B$28</f>
        <v>674549.92761468899</v>
      </c>
      <c r="V314" s="2">
        <f t="shared" si="4"/>
        <v>27502.542385310982</v>
      </c>
    </row>
    <row r="315" spans="1:22" ht="15" customHeight="1">
      <c r="A315" s="2">
        <v>314</v>
      </c>
      <c r="B315" s="2" t="s">
        <v>104</v>
      </c>
      <c r="C315" s="2" t="s">
        <v>18</v>
      </c>
      <c r="D315" s="2" t="s">
        <v>24</v>
      </c>
      <c r="E315" s="2" t="s">
        <v>17</v>
      </c>
      <c r="F315" s="2">
        <v>688368.46</v>
      </c>
      <c r="G315" s="2">
        <v>46767.99</v>
      </c>
      <c r="H315" s="2">
        <v>7973</v>
      </c>
      <c r="I315" s="2">
        <v>0.183</v>
      </c>
      <c r="J315" s="2">
        <v>18</v>
      </c>
      <c r="K315" s="2">
        <v>94.8</v>
      </c>
      <c r="L315" s="2">
        <v>4.67</v>
      </c>
      <c r="M315" s="2">
        <v>0</v>
      </c>
      <c r="N315" s="2">
        <v>3.9</v>
      </c>
      <c r="O315" s="2">
        <v>0</v>
      </c>
      <c r="P315" s="2">
        <v>0</v>
      </c>
      <c r="Q315" s="2">
        <v>1</v>
      </c>
      <c r="R315" s="2">
        <v>1</v>
      </c>
      <c r="S315" s="2">
        <v>0</v>
      </c>
      <c r="T315" s="2">
        <v>0</v>
      </c>
      <c r="U315" s="2">
        <f>'Multiple Regression Outputs'!$B$14+G315*'Multiple Regression Outputs'!$B$15+H315*'Multiple Regression Outputs'!$B$16+I315*'Multiple Regression Outputs'!$B$17+J315*'Multiple Regression Outputs'!$B$18+K315*'Multiple Regression Outputs'!$B$19+L315*'Multiple Regression Outputs'!$B$20+M315*'Multiple Regression Outputs'!$B$21+N315*'Multiple Regression Outputs'!$B$22+O315*'Multiple Regression Outputs'!$B$23+P315*'Multiple Regression Outputs'!$B$24+Q315*'Multiple Regression Outputs'!$B$25+R315*'Multiple Regression Outputs'!$B$26+S315*'Multiple Regression Outputs'!$B$27+T315*'Multiple Regression Outputs'!$B$28</f>
        <v>704742.32742262783</v>
      </c>
      <c r="V315" s="2">
        <f t="shared" si="4"/>
        <v>-16373.867422627867</v>
      </c>
    </row>
    <row r="316" spans="1:22" ht="15" customHeight="1">
      <c r="A316" s="2">
        <v>315</v>
      </c>
      <c r="B316" s="2" t="s">
        <v>104</v>
      </c>
      <c r="C316" s="2" t="s">
        <v>19</v>
      </c>
      <c r="D316" s="2" t="s">
        <v>24</v>
      </c>
      <c r="E316" s="2" t="s">
        <v>17</v>
      </c>
      <c r="F316" s="2">
        <v>712375.77</v>
      </c>
      <c r="G316" s="2">
        <v>62507.16</v>
      </c>
      <c r="H316" s="2">
        <v>6000</v>
      </c>
      <c r="I316" s="2">
        <v>9.0999999999999998E-2</v>
      </c>
      <c r="J316" s="2">
        <v>14</v>
      </c>
      <c r="K316" s="2">
        <v>98.2</v>
      </c>
      <c r="L316" s="2">
        <v>4.38</v>
      </c>
      <c r="M316" s="2">
        <v>1</v>
      </c>
      <c r="N316" s="2">
        <v>3.9</v>
      </c>
      <c r="O316" s="2">
        <v>0</v>
      </c>
      <c r="P316" s="2">
        <v>0</v>
      </c>
      <c r="Q316" s="2">
        <v>1</v>
      </c>
      <c r="R316" s="2">
        <v>1</v>
      </c>
      <c r="S316" s="2">
        <v>0</v>
      </c>
      <c r="T316" s="2">
        <v>0</v>
      </c>
      <c r="U316" s="2">
        <f>'Multiple Regression Outputs'!$B$14+G316*'Multiple Regression Outputs'!$B$15+H316*'Multiple Regression Outputs'!$B$16+I316*'Multiple Regression Outputs'!$B$17+J316*'Multiple Regression Outputs'!$B$18+K316*'Multiple Regression Outputs'!$B$19+L316*'Multiple Regression Outputs'!$B$20+M316*'Multiple Regression Outputs'!$B$21+N316*'Multiple Regression Outputs'!$B$22+O316*'Multiple Regression Outputs'!$B$23+P316*'Multiple Regression Outputs'!$B$24+Q316*'Multiple Regression Outputs'!$B$25+R316*'Multiple Regression Outputs'!$B$26+S316*'Multiple Regression Outputs'!$B$27+T316*'Multiple Regression Outputs'!$B$28</f>
        <v>686177.91186185612</v>
      </c>
      <c r="V316" s="2">
        <f t="shared" si="4"/>
        <v>26197.8581381439</v>
      </c>
    </row>
    <row r="317" spans="1:22" ht="15" customHeight="1">
      <c r="A317" s="2">
        <v>316</v>
      </c>
      <c r="B317" s="2" t="s">
        <v>104</v>
      </c>
      <c r="C317" s="2" t="s">
        <v>20</v>
      </c>
      <c r="D317" s="2" t="s">
        <v>24</v>
      </c>
      <c r="E317" s="2" t="s">
        <v>17</v>
      </c>
      <c r="F317" s="2">
        <v>844710.67</v>
      </c>
      <c r="G317" s="2">
        <v>66456.28</v>
      </c>
      <c r="H317" s="2">
        <v>9967</v>
      </c>
      <c r="I317" s="2">
        <v>0.108</v>
      </c>
      <c r="J317" s="2">
        <v>20</v>
      </c>
      <c r="K317" s="2">
        <v>94.7</v>
      </c>
      <c r="L317" s="2">
        <v>4.4800000000000004</v>
      </c>
      <c r="M317" s="2">
        <v>0</v>
      </c>
      <c r="N317" s="2">
        <v>4.2</v>
      </c>
      <c r="O317" s="2">
        <v>0</v>
      </c>
      <c r="P317" s="2">
        <v>0</v>
      </c>
      <c r="Q317" s="2">
        <v>1</v>
      </c>
      <c r="R317" s="2">
        <v>1</v>
      </c>
      <c r="S317" s="2">
        <v>0</v>
      </c>
      <c r="T317" s="2">
        <v>0</v>
      </c>
      <c r="U317" s="2">
        <f>'Multiple Regression Outputs'!$B$14+G317*'Multiple Regression Outputs'!$B$15+H317*'Multiple Regression Outputs'!$B$16+I317*'Multiple Regression Outputs'!$B$17+J317*'Multiple Regression Outputs'!$B$18+K317*'Multiple Regression Outputs'!$B$19+L317*'Multiple Regression Outputs'!$B$20+M317*'Multiple Regression Outputs'!$B$21+N317*'Multiple Regression Outputs'!$B$22+O317*'Multiple Regression Outputs'!$B$23+P317*'Multiple Regression Outputs'!$B$24+Q317*'Multiple Regression Outputs'!$B$25+R317*'Multiple Regression Outputs'!$B$26+S317*'Multiple Regression Outputs'!$B$27+T317*'Multiple Regression Outputs'!$B$28</f>
        <v>797282.01527134597</v>
      </c>
      <c r="V317" s="2">
        <f t="shared" si="4"/>
        <v>47428.654728654074</v>
      </c>
    </row>
    <row r="318" spans="1:22" ht="15" customHeight="1">
      <c r="A318" s="2">
        <v>317</v>
      </c>
      <c r="B318" s="2" t="s">
        <v>105</v>
      </c>
      <c r="C318" s="2" t="s">
        <v>15</v>
      </c>
      <c r="D318" s="2" t="s">
        <v>16</v>
      </c>
      <c r="E318" s="2" t="s">
        <v>17</v>
      </c>
      <c r="F318" s="2">
        <v>620264.19999999995</v>
      </c>
      <c r="G318" s="2">
        <v>76614.320000000007</v>
      </c>
      <c r="H318" s="2">
        <v>5639</v>
      </c>
      <c r="I318" s="2">
        <v>0.17399999999999999</v>
      </c>
      <c r="J318" s="2">
        <v>15</v>
      </c>
      <c r="K318" s="2">
        <v>92.9</v>
      </c>
      <c r="L318" s="2">
        <v>1.02</v>
      </c>
      <c r="M318" s="2">
        <v>1</v>
      </c>
      <c r="N318" s="2">
        <v>4</v>
      </c>
      <c r="O318" s="2">
        <v>0</v>
      </c>
      <c r="P318" s="2">
        <v>0</v>
      </c>
      <c r="Q318" s="2">
        <v>1</v>
      </c>
      <c r="R318" s="2">
        <v>0</v>
      </c>
      <c r="S318" s="2">
        <v>0</v>
      </c>
      <c r="T318" s="2">
        <v>0</v>
      </c>
      <c r="U318" s="2">
        <f>'Multiple Regression Outputs'!$B$14+G318*'Multiple Regression Outputs'!$B$15+H318*'Multiple Regression Outputs'!$B$16+I318*'Multiple Regression Outputs'!$B$17+J318*'Multiple Regression Outputs'!$B$18+K318*'Multiple Regression Outputs'!$B$19+L318*'Multiple Regression Outputs'!$B$20+M318*'Multiple Regression Outputs'!$B$21+N318*'Multiple Regression Outputs'!$B$22+O318*'Multiple Regression Outputs'!$B$23+P318*'Multiple Regression Outputs'!$B$24+Q318*'Multiple Regression Outputs'!$B$25+R318*'Multiple Regression Outputs'!$B$26+S318*'Multiple Regression Outputs'!$B$27+T318*'Multiple Regression Outputs'!$B$28</f>
        <v>680087.97876384319</v>
      </c>
      <c r="V318" s="2">
        <f t="shared" si="4"/>
        <v>-59823.778763843235</v>
      </c>
    </row>
    <row r="319" spans="1:22" ht="15" customHeight="1">
      <c r="A319" s="2">
        <v>318</v>
      </c>
      <c r="B319" s="2" t="s">
        <v>105</v>
      </c>
      <c r="C319" s="2" t="s">
        <v>18</v>
      </c>
      <c r="D319" s="2" t="s">
        <v>16</v>
      </c>
      <c r="E319" s="2" t="s">
        <v>17</v>
      </c>
      <c r="F319" s="2">
        <v>536845.42000000004</v>
      </c>
      <c r="G319" s="2">
        <v>24088.06</v>
      </c>
      <c r="H319" s="2">
        <v>3466</v>
      </c>
      <c r="I319" s="2">
        <v>0</v>
      </c>
      <c r="J319" s="2">
        <v>11</v>
      </c>
      <c r="K319" s="2">
        <v>88</v>
      </c>
      <c r="L319" s="2">
        <v>0.2</v>
      </c>
      <c r="M319" s="2">
        <v>0</v>
      </c>
      <c r="N319" s="2">
        <v>3.8</v>
      </c>
      <c r="O319" s="2">
        <v>0</v>
      </c>
      <c r="P319" s="2">
        <v>0</v>
      </c>
      <c r="Q319" s="2">
        <v>1</v>
      </c>
      <c r="R319" s="2">
        <v>0</v>
      </c>
      <c r="S319" s="2">
        <v>0</v>
      </c>
      <c r="T319" s="2">
        <v>0</v>
      </c>
      <c r="U319" s="2">
        <f>'Multiple Regression Outputs'!$B$14+G319*'Multiple Regression Outputs'!$B$15+H319*'Multiple Regression Outputs'!$B$16+I319*'Multiple Regression Outputs'!$B$17+J319*'Multiple Regression Outputs'!$B$18+K319*'Multiple Regression Outputs'!$B$19+L319*'Multiple Regression Outputs'!$B$20+M319*'Multiple Regression Outputs'!$B$21+N319*'Multiple Regression Outputs'!$B$22+O319*'Multiple Regression Outputs'!$B$23+P319*'Multiple Regression Outputs'!$B$24+Q319*'Multiple Regression Outputs'!$B$25+R319*'Multiple Regression Outputs'!$B$26+S319*'Multiple Regression Outputs'!$B$27+T319*'Multiple Regression Outputs'!$B$28</f>
        <v>520431.35866194114</v>
      </c>
      <c r="V319" s="2">
        <f t="shared" si="4"/>
        <v>16414.061338058906</v>
      </c>
    </row>
    <row r="320" spans="1:22" ht="15" customHeight="1">
      <c r="A320" s="2">
        <v>319</v>
      </c>
      <c r="B320" s="2" t="s">
        <v>105</v>
      </c>
      <c r="C320" s="2" t="s">
        <v>19</v>
      </c>
      <c r="D320" s="2" t="s">
        <v>16</v>
      </c>
      <c r="E320" s="2" t="s">
        <v>17</v>
      </c>
      <c r="F320" s="2">
        <v>726776.22</v>
      </c>
      <c r="G320" s="2">
        <v>81902.58</v>
      </c>
      <c r="H320" s="2">
        <v>7775</v>
      </c>
      <c r="I320" s="2">
        <v>0.215</v>
      </c>
      <c r="J320" s="2">
        <v>20</v>
      </c>
      <c r="K320" s="2">
        <v>85.2</v>
      </c>
      <c r="L320" s="2">
        <v>4.8899999999999997</v>
      </c>
      <c r="M320" s="2">
        <v>1</v>
      </c>
      <c r="N320" s="2">
        <v>4.2</v>
      </c>
      <c r="O320" s="2">
        <v>0</v>
      </c>
      <c r="P320" s="2">
        <v>0</v>
      </c>
      <c r="Q320" s="2">
        <v>1</v>
      </c>
      <c r="R320" s="2">
        <v>0</v>
      </c>
      <c r="S320" s="2">
        <v>0</v>
      </c>
      <c r="T320" s="2">
        <v>0</v>
      </c>
      <c r="U320" s="2">
        <f>'Multiple Regression Outputs'!$B$14+G320*'Multiple Regression Outputs'!$B$15+H320*'Multiple Regression Outputs'!$B$16+I320*'Multiple Regression Outputs'!$B$17+J320*'Multiple Regression Outputs'!$B$18+K320*'Multiple Regression Outputs'!$B$19+L320*'Multiple Regression Outputs'!$B$20+M320*'Multiple Regression Outputs'!$B$21+N320*'Multiple Regression Outputs'!$B$22+O320*'Multiple Regression Outputs'!$B$23+P320*'Multiple Regression Outputs'!$B$24+Q320*'Multiple Regression Outputs'!$B$25+R320*'Multiple Regression Outputs'!$B$26+S320*'Multiple Regression Outputs'!$B$27+T320*'Multiple Regression Outputs'!$B$28</f>
        <v>726344.9295017136</v>
      </c>
      <c r="V320" s="2">
        <f t="shared" si="4"/>
        <v>431.29049828636926</v>
      </c>
    </row>
    <row r="321" spans="1:22" ht="15" customHeight="1">
      <c r="A321" s="2">
        <v>320</v>
      </c>
      <c r="B321" s="2" t="s">
        <v>105</v>
      </c>
      <c r="C321" s="2" t="s">
        <v>20</v>
      </c>
      <c r="D321" s="2" t="s">
        <v>16</v>
      </c>
      <c r="E321" s="2" t="s">
        <v>17</v>
      </c>
      <c r="F321" s="2">
        <v>559660.84</v>
      </c>
      <c r="G321" s="2">
        <v>40553.11</v>
      </c>
      <c r="H321" s="2">
        <v>5317</v>
      </c>
      <c r="I321" s="2">
        <v>0.16500000000000001</v>
      </c>
      <c r="J321" s="2">
        <v>17</v>
      </c>
      <c r="K321" s="2">
        <v>84.3</v>
      </c>
      <c r="L321" s="2">
        <v>11.82</v>
      </c>
      <c r="M321" s="2">
        <v>0</v>
      </c>
      <c r="N321" s="2">
        <v>4.0999999999999996</v>
      </c>
      <c r="O321" s="2">
        <v>0</v>
      </c>
      <c r="P321" s="2">
        <v>0</v>
      </c>
      <c r="Q321" s="2">
        <v>1</v>
      </c>
      <c r="R321" s="2">
        <v>0</v>
      </c>
      <c r="S321" s="2">
        <v>0</v>
      </c>
      <c r="T321" s="2">
        <v>0</v>
      </c>
      <c r="U321" s="2">
        <f>'Multiple Regression Outputs'!$B$14+G321*'Multiple Regression Outputs'!$B$15+H321*'Multiple Regression Outputs'!$B$16+I321*'Multiple Regression Outputs'!$B$17+J321*'Multiple Regression Outputs'!$B$18+K321*'Multiple Regression Outputs'!$B$19+L321*'Multiple Regression Outputs'!$B$20+M321*'Multiple Regression Outputs'!$B$21+N321*'Multiple Regression Outputs'!$B$22+O321*'Multiple Regression Outputs'!$B$23+P321*'Multiple Regression Outputs'!$B$24+Q321*'Multiple Regression Outputs'!$B$25+R321*'Multiple Regression Outputs'!$B$26+S321*'Multiple Regression Outputs'!$B$27+T321*'Multiple Regression Outputs'!$B$28</f>
        <v>557669.31022340921</v>
      </c>
      <c r="V321" s="2">
        <f t="shared" si="4"/>
        <v>1991.5297765907599</v>
      </c>
    </row>
  </sheetData>
  <mergeCells count="2">
    <mergeCell ref="X1:AD1"/>
    <mergeCell ref="X9:AD9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workbookViewId="0">
      <selection activeCell="B20" sqref="B20"/>
    </sheetView>
  </sheetViews>
  <sheetFormatPr defaultRowHeight="14.25"/>
  <cols>
    <col min="1" max="1" width="28" customWidth="1"/>
    <col min="2" max="2" width="58" bestFit="1" customWidth="1"/>
    <col min="3" max="3" width="11.375" bestFit="1" customWidth="1"/>
    <col min="4" max="4" width="64.125" bestFit="1" customWidth="1"/>
    <col min="5" max="5" width="66.75" bestFit="1" customWidth="1"/>
    <col min="6" max="6" width="55.75" bestFit="1" customWidth="1"/>
  </cols>
  <sheetData>
    <row r="1" spans="1:6" ht="16.7" customHeight="1">
      <c r="A1" s="12" t="s">
        <v>212</v>
      </c>
      <c r="B1" s="13"/>
      <c r="C1" s="14"/>
      <c r="D1" s="13"/>
      <c r="E1" s="13"/>
      <c r="F1" s="13"/>
    </row>
    <row r="3" spans="1:6" ht="15" customHeight="1">
      <c r="A3" s="1" t="s">
        <v>138</v>
      </c>
      <c r="B3" s="1" t="s">
        <v>213</v>
      </c>
      <c r="C3" s="1" t="s">
        <v>142</v>
      </c>
      <c r="D3" s="1" t="s">
        <v>214</v>
      </c>
      <c r="E3" s="1" t="s">
        <v>215</v>
      </c>
      <c r="F3" s="1" t="s">
        <v>216</v>
      </c>
    </row>
    <row r="4" spans="1:6" ht="15" customHeight="1">
      <c r="A4" s="2" t="s">
        <v>147</v>
      </c>
      <c r="B4" s="2" t="s">
        <v>217</v>
      </c>
      <c r="C4" s="2">
        <v>0.16724469112486995</v>
      </c>
      <c r="D4" s="2" t="s">
        <v>4</v>
      </c>
      <c r="E4" s="2" t="s">
        <v>218</v>
      </c>
      <c r="F4" s="2" t="s">
        <v>219</v>
      </c>
    </row>
    <row r="5" spans="1:6" ht="15" customHeight="1">
      <c r="A5" s="2" t="s">
        <v>151</v>
      </c>
      <c r="B5" s="2" t="s">
        <v>220</v>
      </c>
      <c r="C5" s="2">
        <v>0.73628534000331103</v>
      </c>
      <c r="D5" s="2" t="s">
        <v>5</v>
      </c>
      <c r="E5" s="2" t="s">
        <v>218</v>
      </c>
      <c r="F5" s="2" t="s">
        <v>219</v>
      </c>
    </row>
    <row r="6" spans="1:6" ht="15" customHeight="1">
      <c r="A6" s="2" t="s">
        <v>154</v>
      </c>
      <c r="B6" s="2" t="s">
        <v>221</v>
      </c>
      <c r="C6" s="2">
        <v>8.2905030244004863E-3</v>
      </c>
      <c r="D6" s="2" t="s">
        <v>222</v>
      </c>
      <c r="E6" s="2" t="s">
        <v>218</v>
      </c>
      <c r="F6" s="2" t="s">
        <v>219</v>
      </c>
    </row>
    <row r="7" spans="1:6" ht="15" customHeight="1">
      <c r="A7" s="2" t="s">
        <v>158</v>
      </c>
      <c r="B7" s="2" t="s">
        <v>223</v>
      </c>
      <c r="C7" s="2">
        <v>1.3115015964404453E-2</v>
      </c>
      <c r="D7" s="2" t="s">
        <v>8</v>
      </c>
      <c r="E7" s="2" t="s">
        <v>218</v>
      </c>
      <c r="F7" s="2" t="s">
        <v>219</v>
      </c>
    </row>
    <row r="8" spans="1:6" ht="15" customHeight="1">
      <c r="A8" s="2" t="s">
        <v>162</v>
      </c>
      <c r="B8" s="2" t="s">
        <v>224</v>
      </c>
      <c r="C8" s="2">
        <v>6.9845265596490957E-4</v>
      </c>
      <c r="D8" s="2" t="s">
        <v>222</v>
      </c>
      <c r="E8" s="2" t="s">
        <v>218</v>
      </c>
      <c r="F8" s="2" t="s">
        <v>219</v>
      </c>
    </row>
    <row r="9" spans="1:6" ht="15" customHeight="1">
      <c r="A9" s="2" t="s">
        <v>165</v>
      </c>
      <c r="B9" s="2" t="s">
        <v>225</v>
      </c>
      <c r="C9" s="2">
        <v>0.65229044698823846</v>
      </c>
      <c r="D9" s="2" t="s">
        <v>7</v>
      </c>
      <c r="E9" s="2" t="s">
        <v>218</v>
      </c>
      <c r="F9" s="2" t="s">
        <v>219</v>
      </c>
    </row>
    <row r="10" spans="1:6" ht="15" customHeight="1">
      <c r="A10" s="2" t="s">
        <v>168</v>
      </c>
      <c r="B10" s="2" t="s">
        <v>226</v>
      </c>
      <c r="C10" s="2">
        <v>1.1443607278319501E-2</v>
      </c>
      <c r="D10" s="2" t="s">
        <v>227</v>
      </c>
      <c r="E10" s="2" t="s">
        <v>218</v>
      </c>
      <c r="F10" s="2" t="s">
        <v>219</v>
      </c>
    </row>
    <row r="11" spans="1:6" ht="15" customHeight="1">
      <c r="A11" s="2" t="s">
        <v>172</v>
      </c>
      <c r="B11" s="2" t="s">
        <v>228</v>
      </c>
      <c r="C11" s="2">
        <v>3.8128574446233188E-2</v>
      </c>
      <c r="D11" s="2" t="s">
        <v>10</v>
      </c>
      <c r="E11" s="2" t="s">
        <v>218</v>
      </c>
      <c r="F11" s="2" t="s">
        <v>219</v>
      </c>
    </row>
    <row r="12" spans="1:6" ht="52.7" customHeight="1">
      <c r="A12" s="2" t="s">
        <v>229</v>
      </c>
      <c r="B12" s="2" t="s">
        <v>230</v>
      </c>
      <c r="C12" s="2">
        <v>0.85698738547665765</v>
      </c>
      <c r="D12" s="2" t="s">
        <v>231</v>
      </c>
      <c r="E12" s="2" t="s">
        <v>232</v>
      </c>
      <c r="F12" s="2" t="s">
        <v>233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Dataset</vt:lpstr>
      <vt:lpstr>Data Dictionary</vt:lpstr>
      <vt:lpstr>Cleaned Prepared Data</vt:lpstr>
      <vt:lpstr>Dummy Variables</vt:lpstr>
      <vt:lpstr>Simple Regression Outputs</vt:lpstr>
      <vt:lpstr>Multiple Regression Outputs</vt:lpstr>
      <vt:lpstr>Prediction &amp; Residuals</vt:lpstr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TANVESH RONGALA</cp:lastModifiedBy>
  <dcterms:modified xsi:type="dcterms:W3CDTF">2026-06-23T13:58:09Z</dcterms:modified>
</cp:coreProperties>
</file>